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drawings/drawing2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drawings/drawing3.xml" ContentType="application/vnd.openxmlformats-officedocument.drawing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drawings/drawing4.xml" ContentType="application/vnd.openxmlformats-officedocument.drawing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drawings/drawing5.xml" ContentType="application/vnd.openxmlformats-officedocument.drawing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drawings/drawing6.xml" ContentType="application/vnd.openxmlformats-officedocument.drawing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drawings/drawing7.xml" ContentType="application/vnd.openxmlformats-officedocument.drawing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drawings/drawing8.xml" ContentType="application/vnd.openxmlformats-officedocument.drawing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drawings/drawing9.xml" ContentType="application/vnd.openxmlformats-officedocument.drawing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02241DC0-C52B-481D-9C84-8E327F5E1914}" xr6:coauthVersionLast="47" xr6:coauthVersionMax="47" xr10:uidLastSave="{00000000-0000-0000-0000-000000000000}"/>
  <bookViews>
    <workbookView xWindow="-120" yWindow="-120" windowWidth="29040" windowHeight="15720" activeTab="8" xr2:uid="{F1B43FEA-CF32-4D91-964E-BCAFEC05AC9E}"/>
  </bookViews>
  <sheets>
    <sheet name="Inrich" sheetId="9" r:id="rId1"/>
    <sheet name="One Bangkok" sheetId="2" r:id="rId2"/>
    <sheet name="ARI" sheetId="1" r:id="rId3"/>
    <sheet name="Charn" sheetId="5" r:id="rId4"/>
    <sheet name="Bangna" sheetId="3" r:id="rId5"/>
    <sheet name="The Circle" sheetId="4" r:id="rId6"/>
    <sheet name="Thong lor" sheetId="6" r:id="rId7"/>
    <sheet name="Ekamai" sheetId="8" r:id="rId8"/>
    <sheet name="Paragon.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9" l="1"/>
  <c r="O8" i="9"/>
  <c r="O9" i="9"/>
  <c r="O10" i="9"/>
  <c r="O11" i="9"/>
  <c r="M6" i="9"/>
  <c r="M7" i="9"/>
  <c r="M12" i="9" s="1"/>
  <c r="M8" i="9"/>
  <c r="M9" i="9"/>
  <c r="M10" i="9"/>
  <c r="M11" i="9"/>
  <c r="I12" i="9"/>
  <c r="J12" i="9"/>
  <c r="K12" i="9"/>
  <c r="L12" i="9"/>
  <c r="M16" i="9"/>
  <c r="M21" i="9" s="1"/>
  <c r="M17" i="9"/>
  <c r="M20" i="9"/>
  <c r="I21" i="9"/>
  <c r="J21" i="9"/>
  <c r="K21" i="9"/>
  <c r="L21" i="9"/>
  <c r="I26" i="9"/>
  <c r="J26" i="9"/>
  <c r="K26" i="9"/>
  <c r="O26" i="7"/>
  <c r="J26" i="7"/>
  <c r="R25" i="4"/>
  <c r="E26" i="9"/>
  <c r="F26" i="9"/>
  <c r="D26" i="9"/>
  <c r="G25" i="9"/>
  <c r="G26" i="9" s="1"/>
  <c r="G24" i="9"/>
  <c r="Q8" i="8"/>
  <c r="Q9" i="8"/>
  <c r="Q10" i="8"/>
  <c r="Q11" i="8"/>
  <c r="Q12" i="8"/>
  <c r="Q13" i="8"/>
  <c r="Q14" i="8"/>
  <c r="Q15" i="8"/>
  <c r="Q16" i="8"/>
  <c r="Q17" i="8"/>
  <c r="Q18" i="8"/>
  <c r="Q19" i="8"/>
  <c r="Q7" i="8"/>
  <c r="Q8" i="6"/>
  <c r="Q9" i="6"/>
  <c r="Q10" i="6"/>
  <c r="Q11" i="6"/>
  <c r="Q12" i="6"/>
  <c r="Q13" i="6"/>
  <c r="Q14" i="6"/>
  <c r="Q15" i="6"/>
  <c r="Q16" i="6"/>
  <c r="Q17" i="6"/>
  <c r="Q18" i="6"/>
  <c r="Q7" i="6"/>
  <c r="Q8" i="3"/>
  <c r="Q9" i="3"/>
  <c r="Q10" i="3"/>
  <c r="Q11" i="3"/>
  <c r="Q12" i="3"/>
  <c r="Q13" i="3"/>
  <c r="Q14" i="3"/>
  <c r="Q15" i="3"/>
  <c r="Q16" i="3"/>
  <c r="Q7" i="3"/>
  <c r="Q8" i="5"/>
  <c r="Q9" i="5"/>
  <c r="Q10" i="5"/>
  <c r="Q11" i="5"/>
  <c r="Q12" i="5"/>
  <c r="Q13" i="5"/>
  <c r="Q14" i="5"/>
  <c r="Q15" i="5"/>
  <c r="Q7" i="5"/>
  <c r="Q8" i="1"/>
  <c r="Q9" i="1"/>
  <c r="Q10" i="1"/>
  <c r="Q11" i="1"/>
  <c r="Q7" i="1"/>
  <c r="Q8" i="2"/>
  <c r="Q9" i="2"/>
  <c r="Q10" i="2"/>
  <c r="Q11" i="2"/>
  <c r="Q12" i="2"/>
  <c r="Q13" i="2"/>
  <c r="Q14" i="2"/>
  <c r="Q15" i="2"/>
  <c r="Q7" i="2"/>
  <c r="K19" i="7"/>
  <c r="K22" i="7" s="1"/>
  <c r="I18" i="7"/>
  <c r="J18" i="7" s="1"/>
  <c r="Q18" i="7" s="1"/>
  <c r="O18" i="7"/>
  <c r="O17" i="7"/>
  <c r="H17" i="7"/>
  <c r="G17" i="7"/>
  <c r="E17" i="7"/>
  <c r="D17" i="7"/>
  <c r="D29" i="8"/>
  <c r="E29" i="8"/>
  <c r="F29" i="8"/>
  <c r="G29" i="8"/>
  <c r="H29" i="8"/>
  <c r="I29" i="8"/>
  <c r="K29" i="8"/>
  <c r="L29" i="8"/>
  <c r="M29" i="8"/>
  <c r="N29" i="8"/>
  <c r="K19" i="8"/>
  <c r="O19" i="8" s="1"/>
  <c r="O18" i="8"/>
  <c r="K17" i="8"/>
  <c r="O28" i="8"/>
  <c r="P28" i="8" s="1"/>
  <c r="Q28" i="8" s="1"/>
  <c r="R28" i="8" s="1"/>
  <c r="J27" i="8"/>
  <c r="J28" i="8"/>
  <c r="K14" i="8"/>
  <c r="K13" i="8"/>
  <c r="K11" i="8"/>
  <c r="K8" i="8"/>
  <c r="O27" i="8"/>
  <c r="P27" i="8"/>
  <c r="Q27" i="8" s="1"/>
  <c r="R27" i="8" s="1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K18" i="6"/>
  <c r="P26" i="7" l="1"/>
  <c r="Q26" i="7" s="1"/>
  <c r="R26" i="7" s="1"/>
  <c r="T18" i="7"/>
  <c r="J17" i="7"/>
  <c r="P18" i="7"/>
  <c r="K15" i="6"/>
  <c r="K14" i="6"/>
  <c r="O24" i="6"/>
  <c r="P24" i="6"/>
  <c r="Q24" i="6"/>
  <c r="R24" i="6" s="1"/>
  <c r="P17" i="7" l="1"/>
  <c r="Q17" i="7"/>
  <c r="T17" i="7" s="1"/>
  <c r="U17" i="7" s="1"/>
  <c r="U18" i="7"/>
  <c r="I13" i="2"/>
  <c r="I11" i="2"/>
  <c r="I9" i="2"/>
  <c r="I8" i="2"/>
  <c r="K17" i="4"/>
  <c r="K11" i="4"/>
  <c r="O11" i="4" s="1"/>
  <c r="K10" i="4"/>
  <c r="K16" i="4"/>
  <c r="O16" i="4" s="1"/>
  <c r="K15" i="4"/>
  <c r="K7" i="4"/>
  <c r="O22" i="1"/>
  <c r="P22" i="1" s="1"/>
  <c r="Q22" i="1" s="1"/>
  <c r="R22" i="1" s="1"/>
  <c r="J22" i="1"/>
  <c r="K12" i="2"/>
  <c r="K16" i="2" s="1"/>
  <c r="K13" i="2"/>
  <c r="J27" i="2"/>
  <c r="O27" i="2"/>
  <c r="P27" i="2" s="1"/>
  <c r="H13" i="3"/>
  <c r="E13" i="3"/>
  <c r="D13" i="3"/>
  <c r="D17" i="3" s="1"/>
  <c r="K10" i="5"/>
  <c r="E24" i="1"/>
  <c r="F24" i="1"/>
  <c r="G24" i="1"/>
  <c r="H24" i="1"/>
  <c r="I24" i="1"/>
  <c r="K24" i="1"/>
  <c r="L24" i="1"/>
  <c r="M24" i="1"/>
  <c r="N24" i="1"/>
  <c r="D24" i="1"/>
  <c r="E12" i="1"/>
  <c r="F12" i="1"/>
  <c r="G12" i="1"/>
  <c r="H12" i="1"/>
  <c r="I12" i="1"/>
  <c r="K12" i="1"/>
  <c r="L12" i="1"/>
  <c r="M12" i="1"/>
  <c r="N12" i="1"/>
  <c r="R12" i="1"/>
  <c r="S12" i="1"/>
  <c r="D12" i="1"/>
  <c r="D23" i="5"/>
  <c r="E16" i="5"/>
  <c r="F16" i="5"/>
  <c r="G16" i="5"/>
  <c r="H16" i="5"/>
  <c r="I16" i="5"/>
  <c r="K16" i="5"/>
  <c r="L16" i="5"/>
  <c r="M16" i="5"/>
  <c r="N16" i="5"/>
  <c r="R16" i="5"/>
  <c r="S16" i="5"/>
  <c r="D16" i="5"/>
  <c r="E29" i="3"/>
  <c r="F29" i="3"/>
  <c r="G29" i="3"/>
  <c r="H29" i="3"/>
  <c r="I29" i="3"/>
  <c r="K29" i="3"/>
  <c r="L29" i="3"/>
  <c r="M29" i="3"/>
  <c r="N29" i="3"/>
  <c r="D29" i="3"/>
  <c r="F17" i="3"/>
  <c r="G17" i="3"/>
  <c r="I17" i="3"/>
  <c r="K17" i="3"/>
  <c r="L17" i="3"/>
  <c r="M17" i="3"/>
  <c r="N17" i="3"/>
  <c r="R17" i="3"/>
  <c r="S17" i="3"/>
  <c r="E30" i="2"/>
  <c r="F30" i="2"/>
  <c r="G30" i="2"/>
  <c r="H30" i="2"/>
  <c r="I30" i="2"/>
  <c r="K30" i="2"/>
  <c r="L30" i="2"/>
  <c r="M30" i="2"/>
  <c r="N30" i="2"/>
  <c r="D30" i="2"/>
  <c r="E16" i="2"/>
  <c r="F16" i="2"/>
  <c r="G16" i="2"/>
  <c r="H16" i="2"/>
  <c r="L16" i="2"/>
  <c r="M16" i="2"/>
  <c r="N16" i="2"/>
  <c r="R16" i="2"/>
  <c r="S16" i="2"/>
  <c r="E25" i="4"/>
  <c r="F25" i="4"/>
  <c r="G25" i="4"/>
  <c r="H25" i="4"/>
  <c r="I25" i="4"/>
  <c r="K25" i="4"/>
  <c r="L25" i="4"/>
  <c r="M25" i="4"/>
  <c r="N25" i="4"/>
  <c r="D25" i="4"/>
  <c r="E18" i="4"/>
  <c r="F18" i="4"/>
  <c r="G18" i="4"/>
  <c r="H18" i="4"/>
  <c r="I18" i="4"/>
  <c r="L18" i="4"/>
  <c r="M18" i="4"/>
  <c r="N18" i="4"/>
  <c r="R18" i="4"/>
  <c r="S18" i="4"/>
  <c r="D18" i="4"/>
  <c r="F19" i="6"/>
  <c r="G19" i="6"/>
  <c r="H19" i="6"/>
  <c r="I19" i="6"/>
  <c r="K19" i="6"/>
  <c r="L19" i="6"/>
  <c r="M19" i="6"/>
  <c r="N19" i="6"/>
  <c r="R19" i="6"/>
  <c r="S19" i="6"/>
  <c r="F20" i="8"/>
  <c r="G20" i="8"/>
  <c r="I20" i="8"/>
  <c r="K20" i="8"/>
  <c r="L20" i="8"/>
  <c r="M20" i="8"/>
  <c r="N20" i="8"/>
  <c r="R20" i="8"/>
  <c r="S20" i="8"/>
  <c r="F22" i="7"/>
  <c r="G22" i="7"/>
  <c r="H22" i="7"/>
  <c r="L22" i="7"/>
  <c r="M22" i="7"/>
  <c r="N22" i="7"/>
  <c r="R22" i="7"/>
  <c r="S22" i="7"/>
  <c r="K31" i="7"/>
  <c r="L31" i="7"/>
  <c r="M31" i="7"/>
  <c r="N31" i="7"/>
  <c r="D31" i="7"/>
  <c r="E31" i="7"/>
  <c r="F31" i="7"/>
  <c r="G31" i="7"/>
  <c r="H31" i="7"/>
  <c r="I31" i="7"/>
  <c r="O20" i="2"/>
  <c r="O21" i="2"/>
  <c r="O22" i="2"/>
  <c r="O23" i="2"/>
  <c r="O24" i="2"/>
  <c r="J20" i="2"/>
  <c r="J21" i="2"/>
  <c r="J22" i="2"/>
  <c r="P22" i="2" s="1"/>
  <c r="J23" i="2"/>
  <c r="J24" i="2"/>
  <c r="O21" i="3"/>
  <c r="O22" i="3"/>
  <c r="O23" i="3"/>
  <c r="O24" i="3"/>
  <c r="O25" i="3"/>
  <c r="J21" i="3"/>
  <c r="J22" i="3"/>
  <c r="J23" i="3"/>
  <c r="J24" i="3"/>
  <c r="J25" i="3"/>
  <c r="O19" i="1"/>
  <c r="J19" i="1"/>
  <c r="P19" i="1" s="1"/>
  <c r="O18" i="1"/>
  <c r="J18" i="1"/>
  <c r="P18" i="1" s="1"/>
  <c r="O17" i="1"/>
  <c r="J17" i="1"/>
  <c r="P17" i="1" s="1"/>
  <c r="O16" i="1"/>
  <c r="J16" i="1"/>
  <c r="P16" i="1" s="1"/>
  <c r="D16" i="2"/>
  <c r="O25" i="8"/>
  <c r="H18" i="9"/>
  <c r="N18" i="9" s="1"/>
  <c r="H19" i="9"/>
  <c r="N19" i="9" s="1"/>
  <c r="O19" i="9" s="1"/>
  <c r="D12" i="9"/>
  <c r="E12" i="9"/>
  <c r="F12" i="9"/>
  <c r="G12" i="9"/>
  <c r="P12" i="9"/>
  <c r="Q12" i="9"/>
  <c r="R12" i="9"/>
  <c r="H11" i="9"/>
  <c r="T11" i="9" s="1"/>
  <c r="G21" i="9"/>
  <c r="F21" i="9"/>
  <c r="E21" i="9"/>
  <c r="D21" i="9"/>
  <c r="H20" i="9"/>
  <c r="H17" i="9"/>
  <c r="H16" i="9"/>
  <c r="H10" i="9"/>
  <c r="T10" i="9" s="1"/>
  <c r="H9" i="9"/>
  <c r="H8" i="9"/>
  <c r="T8" i="9" s="1"/>
  <c r="H7" i="9"/>
  <c r="H6" i="9"/>
  <c r="O6" i="9" s="1"/>
  <c r="O17" i="8"/>
  <c r="H20" i="8"/>
  <c r="J18" i="8"/>
  <c r="T18" i="8" s="1"/>
  <c r="E20" i="8"/>
  <c r="D20" i="8"/>
  <c r="O11" i="8"/>
  <c r="O12" i="8"/>
  <c r="O13" i="8"/>
  <c r="O14" i="8"/>
  <c r="O15" i="8"/>
  <c r="O16" i="8"/>
  <c r="J11" i="8"/>
  <c r="T11" i="8" s="1"/>
  <c r="J12" i="8"/>
  <c r="J13" i="8"/>
  <c r="T13" i="8" s="1"/>
  <c r="J14" i="8"/>
  <c r="T14" i="8" s="1"/>
  <c r="J15" i="8"/>
  <c r="J16" i="8"/>
  <c r="T16" i="8" s="1"/>
  <c r="J17" i="8"/>
  <c r="J19" i="8"/>
  <c r="E14" i="7"/>
  <c r="E22" i="7" s="1"/>
  <c r="D14" i="7"/>
  <c r="D22" i="7" s="1"/>
  <c r="O21" i="7"/>
  <c r="O20" i="7"/>
  <c r="J20" i="7"/>
  <c r="Q20" i="7" s="1"/>
  <c r="J21" i="7"/>
  <c r="Q21" i="7" s="1"/>
  <c r="J28" i="7"/>
  <c r="J29" i="7"/>
  <c r="J30" i="7"/>
  <c r="O30" i="7"/>
  <c r="O28" i="7"/>
  <c r="O29" i="7"/>
  <c r="O16" i="7"/>
  <c r="J16" i="7"/>
  <c r="O19" i="7"/>
  <c r="O11" i="7"/>
  <c r="O12" i="7"/>
  <c r="O13" i="7"/>
  <c r="O14" i="7"/>
  <c r="O15" i="7"/>
  <c r="J11" i="7"/>
  <c r="J12" i="7"/>
  <c r="J13" i="7"/>
  <c r="J15" i="7"/>
  <c r="J19" i="7"/>
  <c r="Q19" i="7" s="1"/>
  <c r="E19" i="6"/>
  <c r="D19" i="6"/>
  <c r="O10" i="6"/>
  <c r="O11" i="6"/>
  <c r="O12" i="6"/>
  <c r="O13" i="6"/>
  <c r="O14" i="6"/>
  <c r="O15" i="6"/>
  <c r="O16" i="6"/>
  <c r="O17" i="6"/>
  <c r="O18" i="6"/>
  <c r="J10" i="6"/>
  <c r="T10" i="6" s="1"/>
  <c r="J11" i="6"/>
  <c r="T11" i="6" s="1"/>
  <c r="J12" i="6"/>
  <c r="T12" i="6" s="1"/>
  <c r="J13" i="6"/>
  <c r="T13" i="6" s="1"/>
  <c r="J14" i="6"/>
  <c r="T14" i="6" s="1"/>
  <c r="J15" i="6"/>
  <c r="J16" i="6"/>
  <c r="J17" i="6"/>
  <c r="J18" i="6"/>
  <c r="O13" i="4"/>
  <c r="O12" i="5"/>
  <c r="O11" i="5"/>
  <c r="J11" i="5"/>
  <c r="O13" i="5"/>
  <c r="O14" i="5"/>
  <c r="J12" i="5"/>
  <c r="J13" i="5"/>
  <c r="T13" i="5" s="1"/>
  <c r="J14" i="5"/>
  <c r="T14" i="5" s="1"/>
  <c r="O12" i="4"/>
  <c r="O14" i="4"/>
  <c r="O15" i="4"/>
  <c r="O17" i="4"/>
  <c r="J11" i="4"/>
  <c r="J12" i="4"/>
  <c r="J13" i="4"/>
  <c r="Q13" i="4" s="1"/>
  <c r="J14" i="4"/>
  <c r="J15" i="4"/>
  <c r="J16" i="4"/>
  <c r="Q16" i="4" s="1"/>
  <c r="J17" i="4"/>
  <c r="H17" i="3"/>
  <c r="E17" i="3"/>
  <c r="O13" i="3"/>
  <c r="Q16" i="7" l="1"/>
  <c r="T16" i="7" s="1"/>
  <c r="Q13" i="7"/>
  <c r="T13" i="7" s="1"/>
  <c r="Q15" i="7"/>
  <c r="T15" i="7" s="1"/>
  <c r="T12" i="7"/>
  <c r="Q12" i="7"/>
  <c r="Q11" i="7"/>
  <c r="T11" i="7" s="1"/>
  <c r="Q17" i="4"/>
  <c r="T17" i="4" s="1"/>
  <c r="T14" i="4"/>
  <c r="Q14" i="4"/>
  <c r="Q15" i="4"/>
  <c r="T15" i="4" s="1"/>
  <c r="Q12" i="4"/>
  <c r="T12" i="4" s="1"/>
  <c r="Q11" i="4"/>
  <c r="T11" i="4" s="1"/>
  <c r="N20" i="9"/>
  <c r="O20" i="9" s="1"/>
  <c r="P20" i="9" s="1"/>
  <c r="I22" i="7"/>
  <c r="I16" i="2"/>
  <c r="K18" i="4"/>
  <c r="Q27" i="2"/>
  <c r="R27" i="2" s="1"/>
  <c r="P20" i="2"/>
  <c r="Q20" i="2" s="1"/>
  <c r="R20" i="2" s="1"/>
  <c r="P24" i="2"/>
  <c r="P24" i="3"/>
  <c r="P22" i="3"/>
  <c r="Q22" i="3" s="1"/>
  <c r="R22" i="3" s="1"/>
  <c r="J16" i="5"/>
  <c r="N9" i="9"/>
  <c r="P18" i="8"/>
  <c r="U18" i="8" s="1"/>
  <c r="P23" i="2"/>
  <c r="Q22" i="2"/>
  <c r="R22" i="2" s="1"/>
  <c r="P21" i="2"/>
  <c r="Q21" i="2" s="1"/>
  <c r="R21" i="2" s="1"/>
  <c r="Q23" i="2"/>
  <c r="R23" i="2" s="1"/>
  <c r="Q24" i="3"/>
  <c r="R24" i="3"/>
  <c r="P25" i="3"/>
  <c r="P23" i="3"/>
  <c r="P21" i="3"/>
  <c r="Q23" i="3"/>
  <c r="R23" i="3" s="1"/>
  <c r="T19" i="8"/>
  <c r="Q16" i="1"/>
  <c r="R16" i="1" s="1"/>
  <c r="Q17" i="1"/>
  <c r="R17" i="1" s="1"/>
  <c r="Q19" i="1"/>
  <c r="R19" i="1" s="1"/>
  <c r="Q18" i="1"/>
  <c r="R18" i="1" s="1"/>
  <c r="P12" i="5"/>
  <c r="P11" i="5"/>
  <c r="T11" i="5"/>
  <c r="U11" i="5" s="1"/>
  <c r="T12" i="5"/>
  <c r="O18" i="9"/>
  <c r="P18" i="9" s="1"/>
  <c r="P19" i="9"/>
  <c r="N11" i="9"/>
  <c r="U11" i="9" s="1"/>
  <c r="H12" i="9"/>
  <c r="N17" i="9"/>
  <c r="O17" i="9" s="1"/>
  <c r="N7" i="9"/>
  <c r="N6" i="9"/>
  <c r="T7" i="9"/>
  <c r="T9" i="9"/>
  <c r="H21" i="9"/>
  <c r="N16" i="9"/>
  <c r="O16" i="9" s="1"/>
  <c r="T6" i="9"/>
  <c r="N8" i="9"/>
  <c r="U8" i="9" s="1"/>
  <c r="N10" i="9"/>
  <c r="U10" i="9" s="1"/>
  <c r="T17" i="8"/>
  <c r="P15" i="8"/>
  <c r="P12" i="8"/>
  <c r="T12" i="8"/>
  <c r="P19" i="8"/>
  <c r="P11" i="8"/>
  <c r="U11" i="8" s="1"/>
  <c r="P17" i="8"/>
  <c r="P14" i="8"/>
  <c r="U14" i="8" s="1"/>
  <c r="T15" i="8"/>
  <c r="P16" i="8"/>
  <c r="U16" i="8" s="1"/>
  <c r="P13" i="8"/>
  <c r="U13" i="8" s="1"/>
  <c r="J14" i="7"/>
  <c r="Q14" i="7" s="1"/>
  <c r="T21" i="7"/>
  <c r="T20" i="7"/>
  <c r="P21" i="7"/>
  <c r="P20" i="7"/>
  <c r="P12" i="7"/>
  <c r="P30" i="7"/>
  <c r="Q30" i="7" s="1"/>
  <c r="P16" i="7"/>
  <c r="P28" i="7"/>
  <c r="Q28" i="7" s="1"/>
  <c r="R28" i="7" s="1"/>
  <c r="P29" i="7"/>
  <c r="Q29" i="7" s="1"/>
  <c r="R29" i="7" s="1"/>
  <c r="P19" i="7"/>
  <c r="P15" i="7"/>
  <c r="P13" i="7"/>
  <c r="T19" i="7"/>
  <c r="P11" i="7"/>
  <c r="P12" i="6"/>
  <c r="U12" i="6" s="1"/>
  <c r="P10" i="6"/>
  <c r="U10" i="6" s="1"/>
  <c r="P17" i="6"/>
  <c r="P15" i="6"/>
  <c r="P16" i="6"/>
  <c r="T17" i="6"/>
  <c r="T16" i="6"/>
  <c r="T15" i="6"/>
  <c r="P14" i="6"/>
  <c r="U14" i="6" s="1"/>
  <c r="P13" i="6"/>
  <c r="U13" i="6" s="1"/>
  <c r="P11" i="6"/>
  <c r="U11" i="6" s="1"/>
  <c r="P11" i="4"/>
  <c r="P14" i="5"/>
  <c r="U14" i="5" s="1"/>
  <c r="P13" i="5"/>
  <c r="U13" i="5" s="1"/>
  <c r="T13" i="4"/>
  <c r="P15" i="4"/>
  <c r="P14" i="4"/>
  <c r="U14" i="4" s="1"/>
  <c r="P16" i="4"/>
  <c r="P17" i="4"/>
  <c r="T16" i="4"/>
  <c r="U16" i="4" s="1"/>
  <c r="P12" i="4"/>
  <c r="P13" i="4"/>
  <c r="J13" i="3"/>
  <c r="T13" i="3" s="1"/>
  <c r="O11" i="3"/>
  <c r="O27" i="3"/>
  <c r="J28" i="3"/>
  <c r="J11" i="3"/>
  <c r="J12" i="3"/>
  <c r="O12" i="3"/>
  <c r="J14" i="3"/>
  <c r="T14" i="3" s="1"/>
  <c r="O14" i="3"/>
  <c r="J15" i="3"/>
  <c r="T15" i="3" s="1"/>
  <c r="O15" i="3"/>
  <c r="J16" i="3"/>
  <c r="T16" i="3" s="1"/>
  <c r="O16" i="3"/>
  <c r="U13" i="7" l="1"/>
  <c r="U12" i="7"/>
  <c r="U15" i="7"/>
  <c r="U16" i="7"/>
  <c r="U11" i="7"/>
  <c r="U15" i="4"/>
  <c r="U12" i="4"/>
  <c r="U9" i="9"/>
  <c r="U7" i="9"/>
  <c r="U11" i="4"/>
  <c r="Q24" i="2"/>
  <c r="R24" i="2" s="1"/>
  <c r="Q21" i="3"/>
  <c r="Q25" i="3"/>
  <c r="R25" i="3" s="1"/>
  <c r="T12" i="9"/>
  <c r="T14" i="7"/>
  <c r="U19" i="8"/>
  <c r="U12" i="8"/>
  <c r="U17" i="8"/>
  <c r="P12" i="3"/>
  <c r="U12" i="5"/>
  <c r="O12" i="9"/>
  <c r="N12" i="9"/>
  <c r="N21" i="9"/>
  <c r="P16" i="9"/>
  <c r="O21" i="9"/>
  <c r="P17" i="9"/>
  <c r="U6" i="9"/>
  <c r="U15" i="8"/>
  <c r="P14" i="7"/>
  <c r="U20" i="7"/>
  <c r="U21" i="7"/>
  <c r="U19" i="7"/>
  <c r="R30" i="7"/>
  <c r="U17" i="6"/>
  <c r="U15" i="6"/>
  <c r="U16" i="6"/>
  <c r="U13" i="4"/>
  <c r="U17" i="4"/>
  <c r="P13" i="3"/>
  <c r="U13" i="3" s="1"/>
  <c r="T11" i="3"/>
  <c r="T12" i="3"/>
  <c r="P16" i="3"/>
  <c r="U16" i="3" s="1"/>
  <c r="P11" i="3"/>
  <c r="P15" i="3"/>
  <c r="U15" i="3" s="1"/>
  <c r="P14" i="3"/>
  <c r="U14" i="3" s="1"/>
  <c r="O28" i="2"/>
  <c r="J28" i="2"/>
  <c r="O8" i="2"/>
  <c r="O9" i="2"/>
  <c r="O10" i="2"/>
  <c r="O11" i="2"/>
  <c r="O12" i="2"/>
  <c r="O13" i="2"/>
  <c r="O14" i="2"/>
  <c r="O15" i="2"/>
  <c r="J14" i="2"/>
  <c r="T14" i="2" s="1"/>
  <c r="J15" i="2"/>
  <c r="T15" i="2" s="1"/>
  <c r="J8" i="2"/>
  <c r="T8" i="2" s="1"/>
  <c r="J9" i="2"/>
  <c r="T9" i="2" s="1"/>
  <c r="J10" i="2"/>
  <c r="T10" i="2" s="1"/>
  <c r="J11" i="2"/>
  <c r="T11" i="2" s="1"/>
  <c r="J12" i="2"/>
  <c r="T12" i="2" s="1"/>
  <c r="J13" i="2"/>
  <c r="T13" i="2" s="1"/>
  <c r="C3" i="8"/>
  <c r="C2" i="8"/>
  <c r="C3" i="7"/>
  <c r="C2" i="7"/>
  <c r="C3" i="6"/>
  <c r="C2" i="6"/>
  <c r="C3" i="5"/>
  <c r="C2" i="5"/>
  <c r="C3" i="4"/>
  <c r="C2" i="4"/>
  <c r="C3" i="3"/>
  <c r="C2" i="3"/>
  <c r="C3" i="2"/>
  <c r="C2" i="2"/>
  <c r="O26" i="8"/>
  <c r="J26" i="8"/>
  <c r="J25" i="8"/>
  <c r="P25" i="8" s="1"/>
  <c r="Q25" i="8" s="1"/>
  <c r="O24" i="8"/>
  <c r="O29" i="8" s="1"/>
  <c r="J24" i="8"/>
  <c r="J29" i="8" s="1"/>
  <c r="O10" i="8"/>
  <c r="J10" i="8"/>
  <c r="T10" i="8" s="1"/>
  <c r="O9" i="8"/>
  <c r="J9" i="8"/>
  <c r="T9" i="8" s="1"/>
  <c r="O8" i="8"/>
  <c r="J8" i="8"/>
  <c r="T8" i="8" s="1"/>
  <c r="O7" i="8"/>
  <c r="J7" i="8"/>
  <c r="O27" i="7"/>
  <c r="O31" i="7" s="1"/>
  <c r="J27" i="7"/>
  <c r="J31" i="7" s="1"/>
  <c r="O10" i="7"/>
  <c r="J10" i="7"/>
  <c r="O9" i="7"/>
  <c r="J9" i="7"/>
  <c r="J8" i="7"/>
  <c r="O7" i="7"/>
  <c r="J7" i="7"/>
  <c r="Q7" i="7" s="1"/>
  <c r="O23" i="6"/>
  <c r="J23" i="6"/>
  <c r="O9" i="6"/>
  <c r="J9" i="6"/>
  <c r="J8" i="6"/>
  <c r="T8" i="6" s="1"/>
  <c r="O7" i="6"/>
  <c r="J7" i="6"/>
  <c r="N23" i="5"/>
  <c r="M23" i="5"/>
  <c r="L23" i="5"/>
  <c r="K23" i="5"/>
  <c r="I23" i="5"/>
  <c r="H23" i="5"/>
  <c r="G23" i="5"/>
  <c r="F23" i="5"/>
  <c r="E23" i="5"/>
  <c r="O22" i="5"/>
  <c r="J22" i="5"/>
  <c r="O21" i="5"/>
  <c r="J21" i="5"/>
  <c r="O20" i="5"/>
  <c r="J20" i="5"/>
  <c r="O15" i="5"/>
  <c r="J15" i="5"/>
  <c r="O10" i="5"/>
  <c r="J10" i="5"/>
  <c r="T10" i="5" s="1"/>
  <c r="O9" i="5"/>
  <c r="J9" i="5"/>
  <c r="O8" i="5"/>
  <c r="J8" i="5"/>
  <c r="T8" i="5" s="1"/>
  <c r="O7" i="5"/>
  <c r="J7" i="5"/>
  <c r="O24" i="4"/>
  <c r="J24" i="4"/>
  <c r="O23" i="4"/>
  <c r="J23" i="4"/>
  <c r="O22" i="4"/>
  <c r="O25" i="4" s="1"/>
  <c r="J22" i="4"/>
  <c r="O10" i="4"/>
  <c r="J10" i="4"/>
  <c r="Q10" i="4" s="1"/>
  <c r="O9" i="4"/>
  <c r="J9" i="4"/>
  <c r="O8" i="4"/>
  <c r="J8" i="4"/>
  <c r="O7" i="4"/>
  <c r="J7" i="4"/>
  <c r="Q7" i="4" s="1"/>
  <c r="O28" i="3"/>
  <c r="P28" i="3" s="1"/>
  <c r="J27" i="3"/>
  <c r="P27" i="3" s="1"/>
  <c r="Q27" i="3" s="1"/>
  <c r="R27" i="3" s="1"/>
  <c r="O26" i="3"/>
  <c r="O29" i="3" s="1"/>
  <c r="J26" i="3"/>
  <c r="O10" i="3"/>
  <c r="J10" i="3"/>
  <c r="T10" i="3" s="1"/>
  <c r="O9" i="3"/>
  <c r="J9" i="3"/>
  <c r="T9" i="3" s="1"/>
  <c r="J8" i="3"/>
  <c r="T8" i="3" s="1"/>
  <c r="O7" i="3"/>
  <c r="J7" i="3"/>
  <c r="O29" i="2"/>
  <c r="J29" i="2"/>
  <c r="O26" i="2"/>
  <c r="J26" i="2"/>
  <c r="O25" i="2"/>
  <c r="J25" i="2"/>
  <c r="E35" i="2"/>
  <c r="D35" i="2"/>
  <c r="F34" i="2"/>
  <c r="F33" i="2"/>
  <c r="O7" i="2"/>
  <c r="J7" i="2"/>
  <c r="O21" i="1"/>
  <c r="O23" i="1"/>
  <c r="O8" i="1"/>
  <c r="J21" i="1"/>
  <c r="J23" i="1"/>
  <c r="J20" i="1"/>
  <c r="J24" i="1" s="1"/>
  <c r="O20" i="1"/>
  <c r="E29" i="1"/>
  <c r="D29" i="1"/>
  <c r="O11" i="1"/>
  <c r="J11" i="1"/>
  <c r="T11" i="1" s="1"/>
  <c r="O9" i="1"/>
  <c r="O10" i="1"/>
  <c r="O7" i="1"/>
  <c r="J8" i="1"/>
  <c r="J9" i="1"/>
  <c r="T9" i="1" s="1"/>
  <c r="J10" i="1"/>
  <c r="T10" i="1" s="1"/>
  <c r="J7" i="1"/>
  <c r="F28" i="1"/>
  <c r="F27" i="1"/>
  <c r="Q8" i="7" l="1"/>
  <c r="Q22" i="7" s="1"/>
  <c r="Q9" i="7"/>
  <c r="T9" i="7" s="1"/>
  <c r="Q10" i="7"/>
  <c r="T10" i="7" s="1"/>
  <c r="Q8" i="4"/>
  <c r="T8" i="4" s="1"/>
  <c r="Q9" i="4"/>
  <c r="T9" i="4" s="1"/>
  <c r="J22" i="7"/>
  <c r="J20" i="8"/>
  <c r="O20" i="8"/>
  <c r="J19" i="6"/>
  <c r="J25" i="4"/>
  <c r="J18" i="4"/>
  <c r="O18" i="4"/>
  <c r="T7" i="1"/>
  <c r="J12" i="1"/>
  <c r="O24" i="1"/>
  <c r="J30" i="2"/>
  <c r="O30" i="2"/>
  <c r="Q16" i="2"/>
  <c r="J16" i="2"/>
  <c r="O16" i="2"/>
  <c r="Q17" i="3"/>
  <c r="J17" i="3"/>
  <c r="J29" i="3"/>
  <c r="O16" i="5"/>
  <c r="O12" i="1"/>
  <c r="P24" i="4"/>
  <c r="Q24" i="4" s="1"/>
  <c r="R24" i="4" s="1"/>
  <c r="R21" i="3"/>
  <c r="U12" i="3"/>
  <c r="U14" i="7"/>
  <c r="Q20" i="8"/>
  <c r="P28" i="2"/>
  <c r="Q28" i="2" s="1"/>
  <c r="R28" i="2" s="1"/>
  <c r="Q12" i="1"/>
  <c r="U12" i="9"/>
  <c r="P21" i="9"/>
  <c r="P10" i="8"/>
  <c r="U10" i="8" s="1"/>
  <c r="P8" i="8"/>
  <c r="U8" i="8" s="1"/>
  <c r="P9" i="8"/>
  <c r="U9" i="8" s="1"/>
  <c r="P26" i="8"/>
  <c r="Q26" i="8" s="1"/>
  <c r="R26" i="8" s="1"/>
  <c r="P24" i="8"/>
  <c r="P29" i="8" s="1"/>
  <c r="P7" i="8"/>
  <c r="P9" i="7"/>
  <c r="P27" i="7"/>
  <c r="P10" i="7"/>
  <c r="P7" i="7"/>
  <c r="U11" i="3"/>
  <c r="P23" i="6"/>
  <c r="P18" i="6"/>
  <c r="T18" i="6"/>
  <c r="T9" i="6"/>
  <c r="P20" i="5"/>
  <c r="Q20" i="5" s="1"/>
  <c r="J23" i="5"/>
  <c r="P21" i="5"/>
  <c r="Q21" i="5" s="1"/>
  <c r="R21" i="5" s="1"/>
  <c r="P22" i="5"/>
  <c r="Q22" i="5" s="1"/>
  <c r="R22" i="5" s="1"/>
  <c r="P15" i="5"/>
  <c r="T15" i="5"/>
  <c r="T7" i="5"/>
  <c r="P8" i="5"/>
  <c r="U8" i="5" s="1"/>
  <c r="P9" i="5"/>
  <c r="T9" i="5"/>
  <c r="P10" i="4"/>
  <c r="T10" i="4"/>
  <c r="P23" i="4"/>
  <c r="Q23" i="4" s="1"/>
  <c r="R23" i="4" s="1"/>
  <c r="P7" i="6"/>
  <c r="P9" i="6"/>
  <c r="O23" i="5"/>
  <c r="P10" i="5"/>
  <c r="U10" i="5" s="1"/>
  <c r="P7" i="5"/>
  <c r="P22" i="4"/>
  <c r="P9" i="4"/>
  <c r="P7" i="4"/>
  <c r="P26" i="3"/>
  <c r="P29" i="3" s="1"/>
  <c r="P10" i="3"/>
  <c r="U10" i="3" s="1"/>
  <c r="P7" i="3"/>
  <c r="P9" i="3"/>
  <c r="U9" i="3" s="1"/>
  <c r="P15" i="2"/>
  <c r="U15" i="2" s="1"/>
  <c r="P14" i="2"/>
  <c r="U14" i="2" s="1"/>
  <c r="P12" i="2"/>
  <c r="U12" i="2" s="1"/>
  <c r="P10" i="2"/>
  <c r="U10" i="2" s="1"/>
  <c r="P13" i="2"/>
  <c r="U13" i="2" s="1"/>
  <c r="P11" i="2"/>
  <c r="U11" i="2" s="1"/>
  <c r="P9" i="2"/>
  <c r="U9" i="2" s="1"/>
  <c r="P8" i="2"/>
  <c r="U8" i="2" s="1"/>
  <c r="P25" i="2"/>
  <c r="P26" i="2"/>
  <c r="Q26" i="2" s="1"/>
  <c r="R26" i="2" s="1"/>
  <c r="P29" i="2"/>
  <c r="Q29" i="2" s="1"/>
  <c r="R29" i="2" s="1"/>
  <c r="P7" i="2"/>
  <c r="F35" i="2"/>
  <c r="O8" i="7"/>
  <c r="P8" i="7" s="1"/>
  <c r="O8" i="6"/>
  <c r="P8" i="6" s="1"/>
  <c r="U8" i="6" s="1"/>
  <c r="P8" i="4"/>
  <c r="Q28" i="3"/>
  <c r="R28" i="3" s="1"/>
  <c r="O8" i="3"/>
  <c r="P8" i="3" s="1"/>
  <c r="U8" i="3" s="1"/>
  <c r="P23" i="1"/>
  <c r="F29" i="1"/>
  <c r="P11" i="1"/>
  <c r="U11" i="1" s="1"/>
  <c r="P21" i="1"/>
  <c r="P9" i="1"/>
  <c r="U9" i="1" s="1"/>
  <c r="P20" i="1"/>
  <c r="P10" i="1"/>
  <c r="U10" i="1" s="1"/>
  <c r="P7" i="1"/>
  <c r="P8" i="1"/>
  <c r="T8" i="7" l="1"/>
  <c r="U8" i="7" s="1"/>
  <c r="U10" i="7"/>
  <c r="U9" i="7"/>
  <c r="U8" i="4"/>
  <c r="U9" i="4"/>
  <c r="P22" i="7"/>
  <c r="Q27" i="7"/>
  <c r="Q31" i="7" s="1"/>
  <c r="P31" i="7"/>
  <c r="O22" i="7"/>
  <c r="P20" i="8"/>
  <c r="Q24" i="8"/>
  <c r="Q29" i="8" s="1"/>
  <c r="O19" i="6"/>
  <c r="T7" i="6"/>
  <c r="T19" i="6" s="1"/>
  <c r="Q19" i="6"/>
  <c r="P19" i="6"/>
  <c r="P18" i="4"/>
  <c r="Q22" i="4"/>
  <c r="Q25" i="4" s="1"/>
  <c r="P25" i="4"/>
  <c r="Q18" i="4"/>
  <c r="T7" i="2"/>
  <c r="U7" i="2" s="1"/>
  <c r="U16" i="2" s="1"/>
  <c r="Q25" i="2"/>
  <c r="Q30" i="2" s="1"/>
  <c r="P30" i="2"/>
  <c r="P16" i="2"/>
  <c r="O17" i="3"/>
  <c r="T7" i="3"/>
  <c r="T17" i="3" s="1"/>
  <c r="P17" i="3"/>
  <c r="P16" i="5"/>
  <c r="T16" i="5"/>
  <c r="Q16" i="5"/>
  <c r="P24" i="1"/>
  <c r="P12" i="1"/>
  <c r="Q26" i="3"/>
  <c r="Q29" i="3" s="1"/>
  <c r="T7" i="7"/>
  <c r="T22" i="7" s="1"/>
  <c r="T7" i="8"/>
  <c r="T20" i="8" s="1"/>
  <c r="T8" i="1"/>
  <c r="T12" i="1" s="1"/>
  <c r="R25" i="8"/>
  <c r="Q23" i="6"/>
  <c r="U18" i="6"/>
  <c r="U9" i="6"/>
  <c r="U7" i="5"/>
  <c r="P23" i="5"/>
  <c r="U9" i="5"/>
  <c r="U15" i="5"/>
  <c r="U10" i="4"/>
  <c r="T7" i="4"/>
  <c r="T18" i="4" s="1"/>
  <c r="Q23" i="5"/>
  <c r="R20" i="5"/>
  <c r="R23" i="5" s="1"/>
  <c r="Q23" i="1"/>
  <c r="R23" i="1" s="1"/>
  <c r="Q20" i="1"/>
  <c r="Q21" i="1"/>
  <c r="R21" i="1" s="1"/>
  <c r="U7" i="1"/>
  <c r="U7" i="3" l="1"/>
  <c r="U17" i="3" s="1"/>
  <c r="R27" i="7"/>
  <c r="R31" i="7" s="1"/>
  <c r="R24" i="8"/>
  <c r="R29" i="8" s="1"/>
  <c r="U7" i="6"/>
  <c r="U19" i="6" s="1"/>
  <c r="R22" i="4"/>
  <c r="T16" i="2"/>
  <c r="R25" i="2"/>
  <c r="R30" i="2" s="1"/>
  <c r="R26" i="3"/>
  <c r="R29" i="3" s="1"/>
  <c r="U16" i="5"/>
  <c r="Q24" i="1"/>
  <c r="U7" i="7"/>
  <c r="U22" i="7" s="1"/>
  <c r="U7" i="8"/>
  <c r="U20" i="8" s="1"/>
  <c r="U8" i="1"/>
  <c r="U12" i="1" s="1"/>
  <c r="R23" i="6"/>
  <c r="U7" i="4"/>
  <c r="U18" i="4" s="1"/>
  <c r="R20" i="1"/>
  <c r="R24" i="1" s="1"/>
</calcChain>
</file>

<file path=xl/sharedStrings.xml><?xml version="1.0" encoding="utf-8"?>
<sst xmlns="http://schemas.openxmlformats.org/spreadsheetml/2006/main" count="618" uniqueCount="160">
  <si>
    <t>ชื่อบริษัทฯ</t>
  </si>
  <si>
    <t>บริษัท ออริจินกินโรล จำกัด (สำนักงานใหญ่)</t>
  </si>
  <si>
    <t>รอบการจ่าย Service วันที่</t>
  </si>
  <si>
    <t xml:space="preserve">รอบการจ่ายเงินเดือนวันที่ </t>
  </si>
  <si>
    <t>พนักงานประกันสังคม</t>
  </si>
  <si>
    <t>ลำดับที่</t>
  </si>
  <si>
    <t>ชื่อ - นามสกุล</t>
  </si>
  <si>
    <t>Salary Base</t>
  </si>
  <si>
    <t>OT Base</t>
  </si>
  <si>
    <t>ค่าตำแหน่ง</t>
  </si>
  <si>
    <t>ค่าภาษา</t>
  </si>
  <si>
    <t>เงินเดือน</t>
  </si>
  <si>
    <t>ค่าอาหาร</t>
  </si>
  <si>
    <t>ค่าเดินทาง</t>
  </si>
  <si>
    <t>Commistion</t>
  </si>
  <si>
    <t>Service</t>
  </si>
  <si>
    <t>Incentive</t>
  </si>
  <si>
    <t>OT</t>
  </si>
  <si>
    <t>รวมรายรับ</t>
  </si>
  <si>
    <t>รายการหัก</t>
  </si>
  <si>
    <t>ภงด.1</t>
  </si>
  <si>
    <t>รายละเอียดเงินเดือน</t>
  </si>
  <si>
    <t>รวมรายการหัก</t>
  </si>
  <si>
    <t>รวมสุทธิ</t>
  </si>
  <si>
    <t>เงินเดือนกรรมการ</t>
  </si>
  <si>
    <t>พนักงาน หัก ณ ที่จ่าย</t>
  </si>
  <si>
    <t>หัก ณ ที่จ่าย</t>
  </si>
  <si>
    <t>นางสาวกานดา จันทรวงศ์</t>
  </si>
  <si>
    <t>นางสาวพรพรรณ เล็กชูวงศ์</t>
  </si>
  <si>
    <t>รวม Commistion</t>
  </si>
  <si>
    <t>ปกส.</t>
  </si>
  <si>
    <t>กยศ.</t>
  </si>
  <si>
    <t>นาย สิริภพ มาหา</t>
  </si>
  <si>
    <t>นางสาวโชติกา รัตนโสภา</t>
  </si>
  <si>
    <t>นายพีรพัฒน์ ไชยบุตร</t>
  </si>
  <si>
    <t>นายปฐมพงษ์ สมบูรณ์ดี</t>
  </si>
  <si>
    <t>นายนพพล คงมาก</t>
  </si>
  <si>
    <t>รวมพนักงานประกันสังคม</t>
  </si>
  <si>
    <t>รวมเงินเดือนกรรมการ</t>
  </si>
  <si>
    <t>รวมเงินเดือนพนักงาน หัก ณ ที่จ่าย</t>
  </si>
  <si>
    <t>หมายเหตุ</t>
  </si>
  <si>
    <t>นายกฤษดา รังปราณี</t>
  </si>
  <si>
    <t>นางสาวณปภัทร ศรีเศษนาม</t>
  </si>
  <si>
    <t>เบี้ยขยัน</t>
  </si>
  <si>
    <t>บริษัท ริชเทสฮับ จำกัด (สำนักงานใหญ่)</t>
  </si>
  <si>
    <t>นาย อภิชาติ สมพร</t>
  </si>
  <si>
    <t>นายณัฐนันท์ เหลาสุภาพ</t>
  </si>
  <si>
    <t>นายต่อศักดิ์ มณีโชติ</t>
  </si>
  <si>
    <t>นายกฤษฎา โพดพันธ์</t>
  </si>
  <si>
    <t>นายกิตติโชค เกชิต</t>
  </si>
  <si>
    <t>MR.SHIVAR</t>
  </si>
  <si>
    <t>MR.MIN ZAW</t>
  </si>
  <si>
    <t>นางสาว สุภาณี คงมา</t>
  </si>
  <si>
    <t>นางสาวพัชจีรา ทองคำ</t>
  </si>
  <si>
    <t>MR.MIN YONG JUNG</t>
  </si>
  <si>
    <t>ค่าจ้าง</t>
  </si>
  <si>
    <t>รวมค่าจ้าง</t>
  </si>
  <si>
    <t>นางสาวสุวิญชา ธรรมภารา</t>
  </si>
  <si>
    <t>บริษัท โอ้ มายแฮนโรล จำกัด (สำนักงานใหญ่)</t>
  </si>
  <si>
    <t>นายพงศกร ทองก้อน</t>
  </si>
  <si>
    <t>นายนพดล จันทรางกูล</t>
  </si>
  <si>
    <t>นายวิสันต์ ชาวนาผือ</t>
  </si>
  <si>
    <t>นายเทียนชัย จันทรรัตนศิริ</t>
  </si>
  <si>
    <t>นางสาวนิชาภา แจ่มจำรัส</t>
  </si>
  <si>
    <t>นางสาวเด่นนภา สมรัตน์</t>
  </si>
  <si>
    <t>นางสาวจารวี พูลเพิ่ม</t>
  </si>
  <si>
    <t>MR.HEIN ZAW</t>
  </si>
  <si>
    <t>นายณัฐกิตติ์ วงศ์รุ่งเจริญกิจ</t>
  </si>
  <si>
    <t>นายธนะพัฒน์ สุวรรณพันธุ์</t>
  </si>
  <si>
    <t>บริษัท บีทู ออนเดอะโรล จำกัด (สำนักงานใหญ่)</t>
  </si>
  <si>
    <t>บริษัท โรลลิ่งโรล จำกัด (สำนักงานใหญ่)</t>
  </si>
  <si>
    <t>บริษัท ริชเชสริชอินฟินิตี้ จำกัด (สำนักงานใหญ่)</t>
  </si>
  <si>
    <t>บริษัท ออนเดอะโรล จำกัด (สำนักงานใหญ่)</t>
  </si>
  <si>
    <t>บริษัท ออนเดอะโรล จำกัด (00001)</t>
  </si>
  <si>
    <t>นายตันติกร รังปราณี</t>
  </si>
  <si>
    <t>นายอนนท์ ต๋องเรียน</t>
  </si>
  <si>
    <t>นายวัฒนชัย โสดา</t>
  </si>
  <si>
    <t>นายกษิวัฒน์ เหลาเบียร์</t>
  </si>
  <si>
    <t>นายจักรพงษ์ เจริญทัศน์</t>
  </si>
  <si>
    <t>นายไตรสิทธิ์ สุภาสาคร</t>
  </si>
  <si>
    <t>นางสาวอริสา ทองแท่ง</t>
  </si>
  <si>
    <t>นางสาวพรกมล พลเยี่ยม</t>
  </si>
  <si>
    <t>นางสาวพพิลดา แหลมคม</t>
  </si>
  <si>
    <t>นางสาวนฤมล จันทวังโส</t>
  </si>
  <si>
    <t>MR.WAN SAN</t>
  </si>
  <si>
    <t>นาย กฤษฎา แซ่จัง</t>
  </si>
  <si>
    <t>นายวิศิษย์ ไชยยา</t>
  </si>
  <si>
    <t>นายธนวัฒน์ วิชัยโชติยากานต์</t>
  </si>
  <si>
    <t>นายณัฐพงศ์ ธงโบราณ</t>
  </si>
  <si>
    <t>นายเสริฐ พงษ์สวัสดิ์</t>
  </si>
  <si>
    <t>MR.SAI PANT</t>
  </si>
  <si>
    <t>นางสาวเบญจพร ตงสาลี</t>
  </si>
  <si>
    <t>นางสาวพรทิพย์ งามดี</t>
  </si>
  <si>
    <t>นางสาวสุนิษา วงษ์ขันธ์</t>
  </si>
  <si>
    <t>นายภพธร อ้อชัยภูมิ</t>
  </si>
  <si>
    <t>นางสาวธิดาพร บำรุงศิลป์</t>
  </si>
  <si>
    <t>นายจรัล โสภาพ</t>
  </si>
  <si>
    <t>นายฮีโร่คาซุ มาการิ</t>
  </si>
  <si>
    <t>นางสาวณัฐธยาน์ เสือเปรี๊ยว</t>
  </si>
  <si>
    <t>นายสนธยา ไชยอาด</t>
  </si>
  <si>
    <t>นายถิรวัฒน์ ชิเซง</t>
  </si>
  <si>
    <t>นายสุขอนันต์ สุวรรณชัยลบ</t>
  </si>
  <si>
    <t>นายทัศไนย์ ก้อนทอง</t>
  </si>
  <si>
    <t>นายณัฐนิธิ ศิริวัฒนา</t>
  </si>
  <si>
    <t>นายฐิติพัฒน์ วัฒนาการค้าสกุล</t>
  </si>
  <si>
    <t>นายนิมิตร พลศักดิ์ขวา</t>
  </si>
  <si>
    <t>Mrs.KAYNA XIENSAVANG</t>
  </si>
  <si>
    <t>นางสาว กัญญารัตน์ ปานขวัญ</t>
  </si>
  <si>
    <t>นางสาวดลยากร ลืออ้าย</t>
  </si>
  <si>
    <t>นายณัฐวัฒน์ เคนโคกสูง</t>
  </si>
  <si>
    <t>นางสาวศิศานันท์ วรากรพงศ์</t>
  </si>
  <si>
    <t>นาย กิตติชัย กาญจนธเนศ</t>
  </si>
  <si>
    <t>นางสาวดารณี โยธี</t>
  </si>
  <si>
    <t>นางสาวสุนทรีย์ ชมภู</t>
  </si>
  <si>
    <t>นางสาวเดือนเพ็ญ พลสงคราม</t>
  </si>
  <si>
    <t>นายสมปอง สุขยง</t>
  </si>
  <si>
    <t>นายพิษณุ คำเกิด</t>
  </si>
  <si>
    <t>นายบัณฑิต โพธิ์เอี่ยม</t>
  </si>
  <si>
    <t>Mrs.NAN CHIT AYE</t>
  </si>
  <si>
    <t>นายนนทพัทธ์ แซ่อึ้ง</t>
  </si>
  <si>
    <t>นายพรชัย ไทยรอดแก้ว</t>
  </si>
  <si>
    <t>นายอิทธิพล ทวีที</t>
  </si>
  <si>
    <t>นายพุฒิรัตน์ ก้านทิวลิป</t>
  </si>
  <si>
    <t>นายอรรถไกร ซ่อมทอง</t>
  </si>
  <si>
    <t>MR.SAW CHIT MOE</t>
  </si>
  <si>
    <t>MR.SAW AH SEIN</t>
  </si>
  <si>
    <t>นายปาริฉัตร ถินมานัด</t>
  </si>
  <si>
    <t>นายอนุศักดิ์ คำยันต์</t>
  </si>
  <si>
    <t>นายศิวัช พันเจาะจง</t>
  </si>
  <si>
    <t>นางสาวเบญจวรรณ ตรีโส</t>
  </si>
  <si>
    <t>นางสาวน้ำผึ้ง มูลสิทธิ</t>
  </si>
  <si>
    <t>นายจตุพล ยังยืน</t>
  </si>
  <si>
    <t>นางสาวนิชาภา ส่งเสริมโรจน์</t>
  </si>
  <si>
    <t>นางสาวเปรียบเดือน ขันธวิชัย</t>
  </si>
  <si>
    <t>นางสาวศิรประภา ศรีบูรณ์</t>
  </si>
  <si>
    <t>Mr.OR OL</t>
  </si>
  <si>
    <t>Mrs.Naw Maw KHU</t>
  </si>
  <si>
    <t>นางสาวกัญญารัตน์ ปานขวัญ</t>
  </si>
  <si>
    <t>บริษัท อินริชมาเก็ตติ้ง จำกัด (สำนักงานใหญ่)</t>
  </si>
  <si>
    <t>นางสาวมณีรัตน์ รอดนิล</t>
  </si>
  <si>
    <t>นางสาวริญญภัสร์ ศิรชัยฐานันท์</t>
  </si>
  <si>
    <t>นางสาวมรัธยา บัวนุภาพ</t>
  </si>
  <si>
    <t>นางสาวมาริษา อิ่มเต็มสมบัติ</t>
  </si>
  <si>
    <t>หักกู้ยืม</t>
  </si>
  <si>
    <t>นายฐิตาพร วัยอุดมวุฒิ</t>
  </si>
  <si>
    <t>นางสาวลลิตา บุญยก</t>
  </si>
  <si>
    <t>นายวิฆเนศร์ จินตนชูติกร</t>
  </si>
  <si>
    <t>นายพรศักดิ์ ประเสริฐธรรม</t>
  </si>
  <si>
    <t>นางสาวรัฐฐิการ งิ้วงาม</t>
  </si>
  <si>
    <t>เงินได้อื่นๆ</t>
  </si>
  <si>
    <t>นางนภาพร เล็กชูวงศ์</t>
  </si>
  <si>
    <t>นางเปรมศรี ธรรมภารา</t>
  </si>
  <si>
    <t>MR.MINYONG JUNG</t>
  </si>
  <si>
    <t>นางสาวสิริญญา อาทรชัยสกุล</t>
  </si>
  <si>
    <t>นายประภัทร รัตนโชติชัยฤทธิ์</t>
  </si>
  <si>
    <t>นางพัชรี จันทรวงษ์</t>
  </si>
  <si>
    <t>นางสาวกานดา จันทรวงษ์</t>
  </si>
  <si>
    <t>Commission</t>
  </si>
  <si>
    <t>นางสาวปาริฉัตร ถินมานัต</t>
  </si>
  <si>
    <t>No work No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</si>
</sst>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4"/>
      <color theme="1"/>
      <name val="Angsana New"/>
      <family val="1"/>
    </font>
    <font>
      <sz val="14"/>
      <color theme="1"/>
      <name val="Angsana New"/>
      <family val="1"/>
    </font>
    <font>
      <b/>
      <sz val="14"/>
      <color rgb="FFFF0000"/>
      <name val="Angsana New"/>
      <family val="1"/>
    </font>
    <font>
      <sz val="14"/>
      <color rgb="FFFF0000"/>
      <name val="Angsana New"/>
      <family val="1"/>
    </font>
    <font>
      <b/>
      <sz val="14"/>
      <name val="Angsana New"/>
      <family val="1"/>
    </font>
    <font>
      <sz val="14"/>
      <name val="Angsana New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43" fontId="2" fillId="5" borderId="1" xfId="1" applyFont="1" applyFill="1" applyBorder="1" applyAlignment="1">
      <alignment vertical="center"/>
    </xf>
    <xf numFmtId="43" fontId="3" fillId="5" borderId="1" xfId="1" applyFont="1" applyFill="1" applyBorder="1" applyAlignment="1">
      <alignment vertical="center"/>
    </xf>
    <xf numFmtId="43" fontId="2" fillId="2" borderId="1" xfId="1" applyFont="1" applyFill="1" applyBorder="1" applyAlignment="1">
      <alignment vertical="center"/>
    </xf>
    <xf numFmtId="43" fontId="4" fillId="3" borderId="1" xfId="1" applyFont="1" applyFill="1" applyBorder="1" applyAlignment="1">
      <alignment vertical="center"/>
    </xf>
    <xf numFmtId="43" fontId="2" fillId="4" borderId="1" xfId="1" applyFont="1" applyFill="1" applyBorder="1" applyAlignment="1">
      <alignment vertical="center"/>
    </xf>
    <xf numFmtId="43" fontId="3" fillId="6" borderId="1" xfId="1" applyFont="1" applyFill="1" applyBorder="1" applyAlignment="1">
      <alignment vertical="center"/>
    </xf>
    <xf numFmtId="43" fontId="2" fillId="6" borderId="1" xfId="1" applyFont="1" applyFill="1" applyBorder="1" applyAlignment="1">
      <alignment vertical="center"/>
    </xf>
    <xf numFmtId="43" fontId="4" fillId="6" borderId="1" xfId="1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43" fontId="5" fillId="3" borderId="1" xfId="1" applyFont="1" applyFill="1" applyBorder="1" applyAlignment="1">
      <alignment vertical="center"/>
    </xf>
    <xf numFmtId="43" fontId="3" fillId="6" borderId="1" xfId="0" applyNumberFormat="1" applyFont="1" applyFill="1" applyBorder="1" applyAlignment="1">
      <alignment vertical="center"/>
    </xf>
    <xf numFmtId="43" fontId="5" fillId="6" borderId="1" xfId="0" applyNumberFormat="1" applyFont="1" applyFill="1" applyBorder="1" applyAlignment="1">
      <alignment vertical="center"/>
    </xf>
    <xf numFmtId="43" fontId="2" fillId="6" borderId="1" xfId="0" applyNumberFormat="1" applyFont="1" applyFill="1" applyBorder="1" applyAlignment="1">
      <alignment vertical="center"/>
    </xf>
    <xf numFmtId="43" fontId="3" fillId="2" borderId="1" xfId="1" applyFont="1" applyFill="1" applyBorder="1" applyAlignment="1">
      <alignment vertical="center"/>
    </xf>
    <xf numFmtId="43" fontId="3" fillId="4" borderId="1" xfId="1" applyFont="1" applyFill="1" applyBorder="1" applyAlignment="1">
      <alignment vertical="center"/>
    </xf>
    <xf numFmtId="14" fontId="3" fillId="0" borderId="1" xfId="0" applyNumberFormat="1" applyFont="1" applyBorder="1" applyAlignment="1">
      <alignment vertical="center" wrapText="1"/>
    </xf>
    <xf numFmtId="43" fontId="3" fillId="7" borderId="1" xfId="1" applyFont="1" applyFill="1" applyBorder="1" applyAlignment="1">
      <alignment vertical="center"/>
    </xf>
    <xf numFmtId="43" fontId="2" fillId="7" borderId="1" xfId="1" applyFont="1" applyFill="1" applyBorder="1" applyAlignment="1">
      <alignment vertical="center"/>
    </xf>
    <xf numFmtId="43" fontId="4" fillId="7" borderId="1" xfId="1" applyFont="1" applyFill="1" applyBorder="1" applyAlignment="1">
      <alignment vertical="center"/>
    </xf>
    <xf numFmtId="43" fontId="3" fillId="0" borderId="1" xfId="1" applyFont="1" applyFill="1" applyBorder="1" applyAlignment="1">
      <alignment vertical="center"/>
    </xf>
    <xf numFmtId="43" fontId="5" fillId="0" borderId="1" xfId="1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3" fontId="3" fillId="0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3" fontId="3" fillId="0" borderId="4" xfId="1" applyFont="1" applyFill="1" applyBorder="1" applyAlignment="1">
      <alignment vertical="center"/>
    </xf>
    <xf numFmtId="0" fontId="3" fillId="8" borderId="0" xfId="0" applyFont="1" applyFill="1" applyAlignment="1">
      <alignment horizontal="center"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3" fontId="3" fillId="6" borderId="6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43" fontId="3" fillId="0" borderId="0" xfId="0" applyNumberFormat="1" applyFont="1" applyFill="1" applyBorder="1" applyAlignment="1">
      <alignment vertical="center"/>
    </xf>
    <xf numFmtId="43" fontId="2" fillId="4" borderId="1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4" fontId="3" fillId="0" borderId="2" xfId="0" applyNumberFormat="1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FFCC"/>
      <color rgb="FFFFCCCC"/>
      <color rgb="FF0000CC"/>
      <color rgb="FFFFCC00"/>
      <color rgb="FFCCFF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checked="Checked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checked="Checked" lockText="1" noThreeD="1"/>
</file>

<file path=xl/ctrlProps/ctrlProp130.xml><?xml version="1.0" encoding="utf-8"?>
<formControlPr xmlns="http://schemas.microsoft.com/office/spreadsheetml/2009/9/main" objectType="CheckBox" checked="Checked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checked="Checked" lockText="1" noThreeD="1"/>
</file>

<file path=xl/ctrlProps/ctrlProp133.xml><?xml version="1.0" encoding="utf-8"?>
<formControlPr xmlns="http://schemas.microsoft.com/office/spreadsheetml/2009/9/main" objectType="CheckBox" checked="Checked" lockText="1" noThreeD="1"/>
</file>

<file path=xl/ctrlProps/ctrlProp134.xml><?xml version="1.0" encoding="utf-8"?>
<formControlPr xmlns="http://schemas.microsoft.com/office/spreadsheetml/2009/9/main" objectType="CheckBox" checked="Checked" lockText="1" noThreeD="1"/>
</file>

<file path=xl/ctrlProps/ctrlProp135.xml><?xml version="1.0" encoding="utf-8"?>
<formControlPr xmlns="http://schemas.microsoft.com/office/spreadsheetml/2009/9/main" objectType="CheckBox" checked="Checked" lockText="1" noThreeD="1"/>
</file>

<file path=xl/ctrlProps/ctrlProp136.xml><?xml version="1.0" encoding="utf-8"?>
<formControlPr xmlns="http://schemas.microsoft.com/office/spreadsheetml/2009/9/main" objectType="CheckBox" checked="Checked" lockText="1" noThreeD="1"/>
</file>

<file path=xl/ctrlProps/ctrlProp137.xml><?xml version="1.0" encoding="utf-8"?>
<formControlPr xmlns="http://schemas.microsoft.com/office/spreadsheetml/2009/9/main" objectType="CheckBox" checked="Checked" lockText="1" noThreeD="1"/>
</file>

<file path=xl/ctrlProps/ctrlProp138.xml><?xml version="1.0" encoding="utf-8"?>
<formControlPr xmlns="http://schemas.microsoft.com/office/spreadsheetml/2009/9/main" objectType="CheckBox" checked="Checked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checked="Checked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checked="Checked" lockText="1" noThreeD="1"/>
</file>

<file path=xl/ctrlProps/ctrlProp145.xml><?xml version="1.0" encoding="utf-8"?>
<formControlPr xmlns="http://schemas.microsoft.com/office/spreadsheetml/2009/9/main" objectType="CheckBox" checked="Checked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checked="Checked" lockText="1" noThreeD="1"/>
</file>

<file path=xl/ctrlProps/ctrlProp148.xml><?xml version="1.0" encoding="utf-8"?>
<formControlPr xmlns="http://schemas.microsoft.com/office/spreadsheetml/2009/9/main" objectType="CheckBox" checked="Checked" lockText="1" noThreeD="1"/>
</file>

<file path=xl/ctrlProps/ctrlProp149.xml><?xml version="1.0" encoding="utf-8"?>
<formControlPr xmlns="http://schemas.microsoft.com/office/spreadsheetml/2009/9/main" objectType="CheckBox" checked="Checked" lockText="1" noThreeD="1"/>
</file>

<file path=xl/ctrlProps/ctrlProp150.xml><?xml version="1.0" encoding="utf-8"?>
<formControlPr xmlns="http://schemas.microsoft.com/office/spreadsheetml/2009/9/main" objectType="CheckBox" checked="Checked" lockText="1" noThreeD="1"/>
</file>

<file path=xl/ctrlProps/ctrlProp151.xml><?xml version="1.0" encoding="utf-8"?>
<formControlPr xmlns="http://schemas.microsoft.com/office/spreadsheetml/2009/9/main" objectType="CheckBox" checked="Checked" lockText="1" noThreeD="1"/>
</file>

<file path=xl/ctrlProps/ctrlProp152.xml><?xml version="1.0" encoding="utf-8"?>
<formControlPr xmlns="http://schemas.microsoft.com/office/spreadsheetml/2009/9/main" objectType="CheckBox" checked="Checked" lockText="1" noThreeD="1"/>
</file>

<file path=xl/ctrlProps/ctrlProp153.xml><?xml version="1.0" encoding="utf-8"?>
<formControlPr xmlns="http://schemas.microsoft.com/office/spreadsheetml/2009/9/main" objectType="CheckBox" checked="Checked" lockText="1" noThreeD="1"/>
</file>

<file path=xl/ctrlProps/ctrlProp154.xml><?xml version="1.0" encoding="utf-8"?>
<formControlPr xmlns="http://schemas.microsoft.com/office/spreadsheetml/2009/9/main" objectType="CheckBox" checked="Checked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checked="Checked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checked="Checked" lockText="1" noThreeD="1"/>
</file>

<file path=xl/ctrlProps/ctrlProp160.xml><?xml version="1.0" encoding="utf-8"?>
<formControlPr xmlns="http://schemas.microsoft.com/office/spreadsheetml/2009/9/main" objectType="CheckBox" checked="Checked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checked="Checked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checked="Checked" lockText="1" noThreeD="1"/>
</file>

<file path=xl/ctrlProps/ctrlProp169.xml><?xml version="1.0" encoding="utf-8"?>
<formControlPr xmlns="http://schemas.microsoft.com/office/spreadsheetml/2009/9/main" objectType="CheckBox" checked="Checked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checked="Checked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checked="Checked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checked="Checked" lockText="1" noThreeD="1"/>
</file>

<file path=xl/ctrlProps/ctrlProp178.xml><?xml version="1.0" encoding="utf-8"?>
<formControlPr xmlns="http://schemas.microsoft.com/office/spreadsheetml/2009/9/main" objectType="CheckBox" checked="Checked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checked="Checked" lockText="1" noThreeD="1"/>
</file>

<file path=xl/ctrlProps/ctrlProp181.xml><?xml version="1.0" encoding="utf-8"?>
<formControlPr xmlns="http://schemas.microsoft.com/office/spreadsheetml/2009/9/main" objectType="CheckBox" checked="Checked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checked="Checked" lockText="1" noThreeD="1"/>
</file>

<file path=xl/ctrlProps/ctrlProp190.xml><?xml version="1.0" encoding="utf-8"?>
<formControlPr xmlns="http://schemas.microsoft.com/office/spreadsheetml/2009/9/main" objectType="CheckBox" checked="Checked" lockText="1" noThreeD="1"/>
</file>

<file path=xl/ctrlProps/ctrlProp191.xml><?xml version="1.0" encoding="utf-8"?>
<formControlPr xmlns="http://schemas.microsoft.com/office/spreadsheetml/2009/9/main" objectType="CheckBox" checked="Checked" lockText="1" noThreeD="1"/>
</file>

<file path=xl/ctrlProps/ctrlProp192.xml><?xml version="1.0" encoding="utf-8"?>
<formControlPr xmlns="http://schemas.microsoft.com/office/spreadsheetml/2009/9/main" objectType="CheckBox" checked="Checked" lockText="1" noThreeD="1"/>
</file>

<file path=xl/ctrlProps/ctrlProp193.xml><?xml version="1.0" encoding="utf-8"?>
<formControlPr xmlns="http://schemas.microsoft.com/office/spreadsheetml/2009/9/main" objectType="CheckBox" checked="Checked" lockText="1" noThreeD="1"/>
</file>

<file path=xl/ctrlProps/ctrlProp194.xml><?xml version="1.0" encoding="utf-8"?>
<formControlPr xmlns="http://schemas.microsoft.com/office/spreadsheetml/2009/9/main" objectType="CheckBox" checked="Checked" lockText="1" noThreeD="1"/>
</file>

<file path=xl/ctrlProps/ctrlProp195.xml><?xml version="1.0" encoding="utf-8"?>
<formControlPr xmlns="http://schemas.microsoft.com/office/spreadsheetml/2009/9/main" objectType="CheckBox" checked="Checked" lockText="1" noThreeD="1"/>
</file>

<file path=xl/ctrlProps/ctrlProp196.xml><?xml version="1.0" encoding="utf-8"?>
<formControlPr xmlns="http://schemas.microsoft.com/office/spreadsheetml/2009/9/main" objectType="CheckBox" checked="Checked" lockText="1" noThreeD="1"/>
</file>

<file path=xl/ctrlProps/ctrlProp197.xml><?xml version="1.0" encoding="utf-8"?>
<formControlPr xmlns="http://schemas.microsoft.com/office/spreadsheetml/2009/9/main" objectType="CheckBox" checked="Checked" lockText="1" noThreeD="1"/>
</file>

<file path=xl/ctrlProps/ctrlProp198.xml><?xml version="1.0" encoding="utf-8"?>
<formControlPr xmlns="http://schemas.microsoft.com/office/spreadsheetml/2009/9/main" objectType="CheckBox" checked="Checked" lockText="1" noThreeD="1"/>
</file>

<file path=xl/ctrlProps/ctrlProp199.xml><?xml version="1.0" encoding="utf-8"?>
<formControlPr xmlns="http://schemas.microsoft.com/office/spreadsheetml/2009/9/main" objectType="CheckBox" checked="Checked" lockText="1" noThreeD="1"/>
</file>

<file path=xl/ctrlProps/ctrlProp200.xml><?xml version="1.0" encoding="utf-8"?>
<formControlPr xmlns="http://schemas.microsoft.com/office/spreadsheetml/2009/9/main" objectType="CheckBox" checked="Checked" lockText="1" noThreeD="1"/>
</file>

<file path=xl/ctrlProps/ctrlProp201.xml><?xml version="1.0" encoding="utf-8"?>
<formControlPr xmlns="http://schemas.microsoft.com/office/spreadsheetml/2009/9/main" objectType="CheckBox" checked="Checked" lockText="1" noThreeD="1"/>
</file>

<file path=xl/ctrlProps/ctrlProp202.xml><?xml version="1.0" encoding="utf-8"?>
<formControlPr xmlns="http://schemas.microsoft.com/office/spreadsheetml/2009/9/main" objectType="CheckBox" checked="Checked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checked="Checked" lockText="1" noThreeD="1"/>
</file>

<file path=xl/ctrlProps/ctrlProp205.xml><?xml version="1.0" encoding="utf-8"?>
<formControlPr xmlns="http://schemas.microsoft.com/office/spreadsheetml/2009/9/main" objectType="CheckBox" checked="Checked" lockText="1" noThreeD="1"/>
</file>

<file path=xl/ctrlProps/ctrlProp206.xml><?xml version="1.0" encoding="utf-8"?>
<formControlPr xmlns="http://schemas.microsoft.com/office/spreadsheetml/2009/9/main" objectType="CheckBox" checked="Checked" lockText="1" noThreeD="1"/>
</file>

<file path=xl/ctrlProps/ctrlProp207.xml><?xml version="1.0" encoding="utf-8"?>
<formControlPr xmlns="http://schemas.microsoft.com/office/spreadsheetml/2009/9/main" objectType="CheckBox" checked="Checked" lockText="1" noThreeD="1"/>
</file>

<file path=xl/ctrlProps/ctrlProp208.xml><?xml version="1.0" encoding="utf-8"?>
<formControlPr xmlns="http://schemas.microsoft.com/office/spreadsheetml/2009/9/main" objectType="CheckBox" checked="Checked" lockText="1" noThreeD="1"/>
</file>

<file path=xl/ctrlProps/ctrlProp209.xml><?xml version="1.0" encoding="utf-8"?>
<formControlPr xmlns="http://schemas.microsoft.com/office/spreadsheetml/2009/9/main" objectType="CheckBox" checked="Checked" lockText="1" noThreeD="1"/>
</file>

<file path=xl/ctrlProps/ctrlProp210.xml><?xml version="1.0" encoding="utf-8"?>
<formControlPr xmlns="http://schemas.microsoft.com/office/spreadsheetml/2009/9/main" objectType="CheckBox" checked="Checked" lockText="1" noThreeD="1"/>
</file>

<file path=xl/ctrlProps/ctrlProp211.xml><?xml version="1.0" encoding="utf-8"?>
<formControlPr xmlns="http://schemas.microsoft.com/office/spreadsheetml/2009/9/main" objectType="CheckBox" checked="Checked" lockText="1" noThreeD="1"/>
</file>

<file path=xl/ctrlProps/ctrlProp212.xml><?xml version="1.0" encoding="utf-8"?>
<formControlPr xmlns="http://schemas.microsoft.com/office/spreadsheetml/2009/9/main" objectType="CheckBox" checked="Checked" lockText="1" noThreeD="1"/>
</file>

<file path=xl/ctrlProps/ctrlProp213.xml><?xml version="1.0" encoding="utf-8"?>
<formControlPr xmlns="http://schemas.microsoft.com/office/spreadsheetml/2009/9/main" objectType="CheckBox" checked="Checked" lockText="1" noThreeD="1"/>
</file>

<file path=xl/ctrlProps/ctrlProp214.xml><?xml version="1.0" encoding="utf-8"?>
<formControlPr xmlns="http://schemas.microsoft.com/office/spreadsheetml/2009/9/main" objectType="CheckBox" checked="Checked" lockText="1" noThreeD="1"/>
</file>

<file path=xl/ctrlProps/ctrlProp215.xml><?xml version="1.0" encoding="utf-8"?>
<formControlPr xmlns="http://schemas.microsoft.com/office/spreadsheetml/2009/9/main" objectType="CheckBox" checked="Checked" lockText="1" noThreeD="1"/>
</file>

<file path=xl/ctrlProps/ctrlProp216.xml><?xml version="1.0" encoding="utf-8"?>
<formControlPr xmlns="http://schemas.microsoft.com/office/spreadsheetml/2009/9/main" objectType="CheckBox" checked="Checked" lockText="1" noThreeD="1"/>
</file>

<file path=xl/ctrlProps/ctrlProp217.xml><?xml version="1.0" encoding="utf-8"?>
<formControlPr xmlns="http://schemas.microsoft.com/office/spreadsheetml/2009/9/main" objectType="CheckBox" checked="Checked" lockText="1" noThreeD="1"/>
</file>

<file path=xl/ctrlProps/ctrlProp218.xml><?xml version="1.0" encoding="utf-8"?>
<formControlPr xmlns="http://schemas.microsoft.com/office/spreadsheetml/2009/9/main" objectType="CheckBox" checked="Checked" lockText="1" noThreeD="1"/>
</file>

<file path=xl/ctrlProps/ctrlProp219.xml><?xml version="1.0" encoding="utf-8"?>
<formControlPr xmlns="http://schemas.microsoft.com/office/spreadsheetml/2009/9/main" objectType="CheckBox" checked="Checked" lockText="1" noThreeD="1"/>
</file>

<file path=xl/ctrlProps/ctrlProp220.xml><?xml version="1.0" encoding="utf-8"?>
<formControlPr xmlns="http://schemas.microsoft.com/office/spreadsheetml/2009/9/main" objectType="CheckBox" checked="Checked" lockText="1" noThreeD="1"/>
</file>

<file path=xl/ctrlProps/ctrlProp221.xml><?xml version="1.0" encoding="utf-8"?>
<formControlPr xmlns="http://schemas.microsoft.com/office/spreadsheetml/2009/9/main" objectType="CheckBox" checked="Checked" lockText="1" noThreeD="1"/>
</file>

<file path=xl/ctrlProps/ctrlProp222.xml><?xml version="1.0" encoding="utf-8"?>
<formControlPr xmlns="http://schemas.microsoft.com/office/spreadsheetml/2009/9/main" objectType="CheckBox" checked="Checked" lockText="1" noThreeD="1"/>
</file>

<file path=xl/ctrlProps/ctrlProp223.xml><?xml version="1.0" encoding="utf-8"?>
<formControlPr xmlns="http://schemas.microsoft.com/office/spreadsheetml/2009/9/main" objectType="CheckBox" checked="Checked" lockText="1" noThreeD="1"/>
</file>

<file path=xl/ctrlProps/ctrlProp224.xml><?xml version="1.0" encoding="utf-8"?>
<formControlPr xmlns="http://schemas.microsoft.com/office/spreadsheetml/2009/9/main" objectType="CheckBox" checked="Checked" lockText="1" noThreeD="1"/>
</file>

<file path=xl/ctrlProps/ctrlProp225.xml><?xml version="1.0" encoding="utf-8"?>
<formControlPr xmlns="http://schemas.microsoft.com/office/spreadsheetml/2009/9/main" objectType="CheckBox" checked="Checked" lockText="1" noThreeD="1"/>
</file>

<file path=xl/ctrlProps/ctrlProp226.xml><?xml version="1.0" encoding="utf-8"?>
<formControlPr xmlns="http://schemas.microsoft.com/office/spreadsheetml/2009/9/main" objectType="CheckBox" checked="Checked" lockText="1" noThreeD="1"/>
</file>

<file path=xl/ctrlProps/ctrlProp227.xml><?xml version="1.0" encoding="utf-8"?>
<formControlPr xmlns="http://schemas.microsoft.com/office/spreadsheetml/2009/9/main" objectType="CheckBox" checked="Checked" lockText="1" noThreeD="1"/>
</file>

<file path=xl/ctrlProps/ctrlProp228.xml><?xml version="1.0" encoding="utf-8"?>
<formControlPr xmlns="http://schemas.microsoft.com/office/spreadsheetml/2009/9/main" objectType="CheckBox" checked="Checked" lockText="1" noThreeD="1"/>
</file>

<file path=xl/ctrlProps/ctrlProp229.xml><?xml version="1.0" encoding="utf-8"?>
<formControlPr xmlns="http://schemas.microsoft.com/office/spreadsheetml/2009/9/main" objectType="CheckBox" checked="Checked" lockText="1" noThreeD="1"/>
</file>

<file path=xl/ctrlProps/ctrlProp230.xml><?xml version="1.0" encoding="utf-8"?>
<formControlPr xmlns="http://schemas.microsoft.com/office/spreadsheetml/2009/9/main" objectType="CheckBox" checked="Checked" lockText="1" noThreeD="1"/>
</file>

<file path=xl/ctrlProps/ctrlProp231.xml><?xml version="1.0" encoding="utf-8"?>
<formControlPr xmlns="http://schemas.microsoft.com/office/spreadsheetml/2009/9/main" objectType="CheckBox" checked="Checked" lockText="1" noThreeD="1"/>
</file>

<file path=xl/ctrlProps/ctrlProp232.xml><?xml version="1.0" encoding="utf-8"?>
<formControlPr xmlns="http://schemas.microsoft.com/office/spreadsheetml/2009/9/main" objectType="CheckBox" checked="Checked" lockText="1" noThreeD="1"/>
</file>

<file path=xl/ctrlProps/ctrlProp233.xml><?xml version="1.0" encoding="utf-8"?>
<formControlPr xmlns="http://schemas.microsoft.com/office/spreadsheetml/2009/9/main" objectType="CheckBox" checked="Checked" lockText="1" noThreeD="1"/>
</file>

<file path=xl/ctrlProps/ctrlProp234.xml><?xml version="1.0" encoding="utf-8"?>
<formControlPr xmlns="http://schemas.microsoft.com/office/spreadsheetml/2009/9/main" objectType="CheckBox" checked="Checked" lockText="1" noThreeD="1"/>
</file>

<file path=xl/ctrlProps/ctrlProp235.xml><?xml version="1.0" encoding="utf-8"?>
<formControlPr xmlns="http://schemas.microsoft.com/office/spreadsheetml/2009/9/main" objectType="CheckBox" checked="Checked" lockText="1" noThreeD="1"/>
</file>

<file path=xl/ctrlProps/ctrlProp236.xml><?xml version="1.0" encoding="utf-8"?>
<formControlPr xmlns="http://schemas.microsoft.com/office/spreadsheetml/2009/9/main" objectType="CheckBox" checked="Checked" lockText="1" noThreeD="1"/>
</file>

<file path=xl/ctrlProps/ctrlProp237.xml><?xml version="1.0" encoding="utf-8"?>
<formControlPr xmlns="http://schemas.microsoft.com/office/spreadsheetml/2009/9/main" objectType="CheckBox" checked="Checked" lockText="1" noThreeD="1"/>
</file>

<file path=xl/ctrlProps/ctrlProp238.xml><?xml version="1.0" encoding="utf-8"?>
<formControlPr xmlns="http://schemas.microsoft.com/office/spreadsheetml/2009/9/main" objectType="CheckBox" checked="Checked" lockText="1" noThreeD="1"/>
</file>

<file path=xl/ctrlProps/ctrlProp239.xml><?xml version="1.0" encoding="utf-8"?>
<formControlPr xmlns="http://schemas.microsoft.com/office/spreadsheetml/2009/9/main" objectType="CheckBox" checked="Checked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checked="Checked" lockText="1" noThreeD="1"/>
</file>

<file path=xl/ctrlProps/ctrlProp242.xml><?xml version="1.0" encoding="utf-8"?>
<formControlPr xmlns="http://schemas.microsoft.com/office/spreadsheetml/2009/9/main" objectType="CheckBox" checked="Checked" lockText="1" noThreeD="1"/>
</file>

<file path=xl/ctrlProps/ctrlProp243.xml><?xml version="1.0" encoding="utf-8"?>
<formControlPr xmlns="http://schemas.microsoft.com/office/spreadsheetml/2009/9/main" objectType="CheckBox" checked="Checked" lockText="1" noThreeD="1"/>
</file>

<file path=xl/ctrlProps/ctrlProp244.xml><?xml version="1.0" encoding="utf-8"?>
<formControlPr xmlns="http://schemas.microsoft.com/office/spreadsheetml/2009/9/main" objectType="CheckBox" checked="Checked" lockText="1" noThreeD="1"/>
</file>

<file path=xl/ctrlProps/ctrlProp245.xml><?xml version="1.0" encoding="utf-8"?>
<formControlPr xmlns="http://schemas.microsoft.com/office/spreadsheetml/2009/9/main" objectType="CheckBox" checked="Checked" lockText="1" noThreeD="1"/>
</file>

<file path=xl/ctrlProps/ctrlProp246.xml><?xml version="1.0" encoding="utf-8"?>
<formControlPr xmlns="http://schemas.microsoft.com/office/spreadsheetml/2009/9/main" objectType="CheckBox" checked="Checked" lockText="1" noThreeD="1"/>
</file>

<file path=xl/ctrlProps/ctrlProp247.xml><?xml version="1.0" encoding="utf-8"?>
<formControlPr xmlns="http://schemas.microsoft.com/office/spreadsheetml/2009/9/main" objectType="CheckBox" checked="Checked" lockText="1" noThreeD="1"/>
</file>

<file path=xl/ctrlProps/ctrlProp248.xml><?xml version="1.0" encoding="utf-8"?>
<formControlPr xmlns="http://schemas.microsoft.com/office/spreadsheetml/2009/9/main" objectType="CheckBox" checked="Checked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checked="Checked" lockText="1" noThreeD="1"/>
</file>

<file path=xl/ctrlProps/ctrlProp251.xml><?xml version="1.0" encoding="utf-8"?>
<formControlPr xmlns="http://schemas.microsoft.com/office/spreadsheetml/2009/9/main" objectType="CheckBox" checked="Checked" lockText="1" noThreeD="1"/>
</file>

<file path=xl/ctrlProps/ctrlProp252.xml><?xml version="1.0" encoding="utf-8"?>
<formControlPr xmlns="http://schemas.microsoft.com/office/spreadsheetml/2009/9/main" objectType="CheckBox" checked="Checked" lockText="1" noThreeD="1"/>
</file>

<file path=xl/ctrlProps/ctrlProp253.xml><?xml version="1.0" encoding="utf-8"?>
<formControlPr xmlns="http://schemas.microsoft.com/office/spreadsheetml/2009/9/main" objectType="CheckBox" checked="Checked" lockText="1" noThreeD="1"/>
</file>

<file path=xl/ctrlProps/ctrlProp254.xml><?xml version="1.0" encoding="utf-8"?>
<formControlPr xmlns="http://schemas.microsoft.com/office/spreadsheetml/2009/9/main" objectType="CheckBox" checked="Checked" lockText="1" noThreeD="1"/>
</file>

<file path=xl/ctrlProps/ctrlProp255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5</xdr:row>
          <xdr:rowOff>19050</xdr:rowOff>
        </xdr:from>
        <xdr:to>
          <xdr:col>21</xdr:col>
          <xdr:colOff>638175</xdr:colOff>
          <xdr:row>5</xdr:row>
          <xdr:rowOff>228600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6</xdr:row>
          <xdr:rowOff>19050</xdr:rowOff>
        </xdr:from>
        <xdr:to>
          <xdr:col>21</xdr:col>
          <xdr:colOff>638175</xdr:colOff>
          <xdr:row>6</xdr:row>
          <xdr:rowOff>228600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7</xdr:row>
          <xdr:rowOff>19050</xdr:rowOff>
        </xdr:from>
        <xdr:to>
          <xdr:col>21</xdr:col>
          <xdr:colOff>638175</xdr:colOff>
          <xdr:row>7</xdr:row>
          <xdr:rowOff>228600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8</xdr:row>
          <xdr:rowOff>19050</xdr:rowOff>
        </xdr:from>
        <xdr:to>
          <xdr:col>21</xdr:col>
          <xdr:colOff>638175</xdr:colOff>
          <xdr:row>8</xdr:row>
          <xdr:rowOff>228600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9</xdr:row>
          <xdr:rowOff>19050</xdr:rowOff>
        </xdr:from>
        <xdr:to>
          <xdr:col>21</xdr:col>
          <xdr:colOff>638175</xdr:colOff>
          <xdr:row>9</xdr:row>
          <xdr:rowOff>228600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10</xdr:row>
          <xdr:rowOff>19050</xdr:rowOff>
        </xdr:from>
        <xdr:to>
          <xdr:col>21</xdr:col>
          <xdr:colOff>638175</xdr:colOff>
          <xdr:row>10</xdr:row>
          <xdr:rowOff>228600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209550</xdr:colOff>
          <xdr:row>15</xdr:row>
          <xdr:rowOff>19050</xdr:rowOff>
        </xdr:from>
        <xdr:to>
          <xdr:col>17</xdr:col>
          <xdr:colOff>638175</xdr:colOff>
          <xdr:row>15</xdr:row>
          <xdr:rowOff>228600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209550</xdr:colOff>
          <xdr:row>16</xdr:row>
          <xdr:rowOff>19050</xdr:rowOff>
        </xdr:from>
        <xdr:to>
          <xdr:col>17</xdr:col>
          <xdr:colOff>638175</xdr:colOff>
          <xdr:row>16</xdr:row>
          <xdr:rowOff>228600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209550</xdr:colOff>
          <xdr:row>17</xdr:row>
          <xdr:rowOff>19050</xdr:rowOff>
        </xdr:from>
        <xdr:to>
          <xdr:col>17</xdr:col>
          <xdr:colOff>638175</xdr:colOff>
          <xdr:row>17</xdr:row>
          <xdr:rowOff>228600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209550</xdr:colOff>
          <xdr:row>18</xdr:row>
          <xdr:rowOff>19050</xdr:rowOff>
        </xdr:from>
        <xdr:to>
          <xdr:col>17</xdr:col>
          <xdr:colOff>638175</xdr:colOff>
          <xdr:row>18</xdr:row>
          <xdr:rowOff>228600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209550</xdr:colOff>
          <xdr:row>19</xdr:row>
          <xdr:rowOff>19050</xdr:rowOff>
        </xdr:from>
        <xdr:to>
          <xdr:col>17</xdr:col>
          <xdr:colOff>638175</xdr:colOff>
          <xdr:row>19</xdr:row>
          <xdr:rowOff>228600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209550</xdr:colOff>
          <xdr:row>23</xdr:row>
          <xdr:rowOff>19050</xdr:rowOff>
        </xdr:from>
        <xdr:to>
          <xdr:col>13</xdr:col>
          <xdr:colOff>428625</xdr:colOff>
          <xdr:row>23</xdr:row>
          <xdr:rowOff>228600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209550</xdr:colOff>
          <xdr:row>24</xdr:row>
          <xdr:rowOff>19050</xdr:rowOff>
        </xdr:from>
        <xdr:to>
          <xdr:col>13</xdr:col>
          <xdr:colOff>428625</xdr:colOff>
          <xdr:row>24</xdr:row>
          <xdr:rowOff>228600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6</xdr:row>
          <xdr:rowOff>19050</xdr:rowOff>
        </xdr:from>
        <xdr:to>
          <xdr:col>21</xdr:col>
          <xdr:colOff>638175</xdr:colOff>
          <xdr:row>6</xdr:row>
          <xdr:rowOff>228600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6</xdr:row>
          <xdr:rowOff>19050</xdr:rowOff>
        </xdr:from>
        <xdr:to>
          <xdr:col>21</xdr:col>
          <xdr:colOff>638175</xdr:colOff>
          <xdr:row>6</xdr:row>
          <xdr:rowOff>228600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7</xdr:row>
          <xdr:rowOff>19050</xdr:rowOff>
        </xdr:from>
        <xdr:to>
          <xdr:col>21</xdr:col>
          <xdr:colOff>638175</xdr:colOff>
          <xdr:row>7</xdr:row>
          <xdr:rowOff>228600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7</xdr:row>
          <xdr:rowOff>19050</xdr:rowOff>
        </xdr:from>
        <xdr:to>
          <xdr:col>21</xdr:col>
          <xdr:colOff>638175</xdr:colOff>
          <xdr:row>7</xdr:row>
          <xdr:rowOff>228600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8</xdr:row>
          <xdr:rowOff>19050</xdr:rowOff>
        </xdr:from>
        <xdr:to>
          <xdr:col>21</xdr:col>
          <xdr:colOff>638175</xdr:colOff>
          <xdr:row>8</xdr:row>
          <xdr:rowOff>228600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8</xdr:row>
          <xdr:rowOff>19050</xdr:rowOff>
        </xdr:from>
        <xdr:to>
          <xdr:col>21</xdr:col>
          <xdr:colOff>638175</xdr:colOff>
          <xdr:row>8</xdr:row>
          <xdr:rowOff>228600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9</xdr:row>
          <xdr:rowOff>19050</xdr:rowOff>
        </xdr:from>
        <xdr:to>
          <xdr:col>21</xdr:col>
          <xdr:colOff>638175</xdr:colOff>
          <xdr:row>9</xdr:row>
          <xdr:rowOff>228600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9</xdr:row>
          <xdr:rowOff>19050</xdr:rowOff>
        </xdr:from>
        <xdr:to>
          <xdr:col>21</xdr:col>
          <xdr:colOff>638175</xdr:colOff>
          <xdr:row>9</xdr:row>
          <xdr:rowOff>228600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10</xdr:row>
          <xdr:rowOff>19050</xdr:rowOff>
        </xdr:from>
        <xdr:to>
          <xdr:col>21</xdr:col>
          <xdr:colOff>638175</xdr:colOff>
          <xdr:row>10</xdr:row>
          <xdr:rowOff>228600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10</xdr:row>
          <xdr:rowOff>19050</xdr:rowOff>
        </xdr:from>
        <xdr:to>
          <xdr:col>21</xdr:col>
          <xdr:colOff>638175</xdr:colOff>
          <xdr:row>10</xdr:row>
          <xdr:rowOff>228600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11</xdr:row>
          <xdr:rowOff>19050</xdr:rowOff>
        </xdr:from>
        <xdr:to>
          <xdr:col>21</xdr:col>
          <xdr:colOff>638175</xdr:colOff>
          <xdr:row>11</xdr:row>
          <xdr:rowOff>228600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11</xdr:row>
          <xdr:rowOff>19050</xdr:rowOff>
        </xdr:from>
        <xdr:to>
          <xdr:col>21</xdr:col>
          <xdr:colOff>638175</xdr:colOff>
          <xdr:row>11</xdr:row>
          <xdr:rowOff>228600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12</xdr:row>
          <xdr:rowOff>19050</xdr:rowOff>
        </xdr:from>
        <xdr:to>
          <xdr:col>21</xdr:col>
          <xdr:colOff>638175</xdr:colOff>
          <xdr:row>12</xdr:row>
          <xdr:rowOff>228600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12</xdr:row>
          <xdr:rowOff>19050</xdr:rowOff>
        </xdr:from>
        <xdr:to>
          <xdr:col>21</xdr:col>
          <xdr:colOff>638175</xdr:colOff>
          <xdr:row>12</xdr:row>
          <xdr:rowOff>228600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13</xdr:row>
          <xdr:rowOff>19050</xdr:rowOff>
        </xdr:from>
        <xdr:to>
          <xdr:col>21</xdr:col>
          <xdr:colOff>638175</xdr:colOff>
          <xdr:row>13</xdr:row>
          <xdr:rowOff>228600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13</xdr:row>
          <xdr:rowOff>19050</xdr:rowOff>
        </xdr:from>
        <xdr:to>
          <xdr:col>21</xdr:col>
          <xdr:colOff>638175</xdr:colOff>
          <xdr:row>13</xdr:row>
          <xdr:rowOff>228600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14</xdr:row>
          <xdr:rowOff>19050</xdr:rowOff>
        </xdr:from>
        <xdr:to>
          <xdr:col>21</xdr:col>
          <xdr:colOff>638175</xdr:colOff>
          <xdr:row>14</xdr:row>
          <xdr:rowOff>228600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14</xdr:row>
          <xdr:rowOff>19050</xdr:rowOff>
        </xdr:from>
        <xdr:to>
          <xdr:col>21</xdr:col>
          <xdr:colOff>638175</xdr:colOff>
          <xdr:row>14</xdr:row>
          <xdr:rowOff>228600</xdr:rowOff>
        </xdr:to>
        <xdr:sp macro="" textlink="">
          <xdr:nvSpPr>
            <xdr:cNvPr id="5138" name="Check Box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19</xdr:row>
          <xdr:rowOff>19050</xdr:rowOff>
        </xdr:from>
        <xdr:to>
          <xdr:col>19</xdr:col>
          <xdr:colOff>638175</xdr:colOff>
          <xdr:row>19</xdr:row>
          <xdr:rowOff>228600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19</xdr:row>
          <xdr:rowOff>19050</xdr:rowOff>
        </xdr:from>
        <xdr:to>
          <xdr:col>19</xdr:col>
          <xdr:colOff>638175</xdr:colOff>
          <xdr:row>19</xdr:row>
          <xdr:rowOff>228600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20</xdr:row>
          <xdr:rowOff>19050</xdr:rowOff>
        </xdr:from>
        <xdr:to>
          <xdr:col>19</xdr:col>
          <xdr:colOff>638175</xdr:colOff>
          <xdr:row>20</xdr:row>
          <xdr:rowOff>228600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20</xdr:row>
          <xdr:rowOff>19050</xdr:rowOff>
        </xdr:from>
        <xdr:to>
          <xdr:col>19</xdr:col>
          <xdr:colOff>638175</xdr:colOff>
          <xdr:row>20</xdr:row>
          <xdr:rowOff>228600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21</xdr:row>
          <xdr:rowOff>19050</xdr:rowOff>
        </xdr:from>
        <xdr:to>
          <xdr:col>19</xdr:col>
          <xdr:colOff>638175</xdr:colOff>
          <xdr:row>21</xdr:row>
          <xdr:rowOff>228600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21</xdr:row>
          <xdr:rowOff>19050</xdr:rowOff>
        </xdr:from>
        <xdr:to>
          <xdr:col>19</xdr:col>
          <xdr:colOff>638175</xdr:colOff>
          <xdr:row>21</xdr:row>
          <xdr:rowOff>228600</xdr:rowOff>
        </xdr:to>
        <xdr:sp macro="" textlink="">
          <xdr:nvSpPr>
            <xdr:cNvPr id="514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22</xdr:row>
          <xdr:rowOff>19050</xdr:rowOff>
        </xdr:from>
        <xdr:to>
          <xdr:col>19</xdr:col>
          <xdr:colOff>638175</xdr:colOff>
          <xdr:row>22</xdr:row>
          <xdr:rowOff>228600</xdr:rowOff>
        </xdr:to>
        <xdr:sp macro="" textlink="">
          <xdr:nvSpPr>
            <xdr:cNvPr id="514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22</xdr:row>
          <xdr:rowOff>19050</xdr:rowOff>
        </xdr:from>
        <xdr:to>
          <xdr:col>19</xdr:col>
          <xdr:colOff>638175</xdr:colOff>
          <xdr:row>22</xdr:row>
          <xdr:rowOff>228600</xdr:rowOff>
        </xdr:to>
        <xdr:sp macro="" textlink="">
          <xdr:nvSpPr>
            <xdr:cNvPr id="514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23</xdr:row>
          <xdr:rowOff>19050</xdr:rowOff>
        </xdr:from>
        <xdr:to>
          <xdr:col>19</xdr:col>
          <xdr:colOff>638175</xdr:colOff>
          <xdr:row>23</xdr:row>
          <xdr:rowOff>228600</xdr:rowOff>
        </xdr:to>
        <xdr:sp macro="" textlink="">
          <xdr:nvSpPr>
            <xdr:cNvPr id="5149" name="Check Box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23</xdr:row>
          <xdr:rowOff>19050</xdr:rowOff>
        </xdr:from>
        <xdr:to>
          <xdr:col>19</xdr:col>
          <xdr:colOff>638175</xdr:colOff>
          <xdr:row>23</xdr:row>
          <xdr:rowOff>228600</xdr:rowOff>
        </xdr:to>
        <xdr:sp macro="" textlink="">
          <xdr:nvSpPr>
            <xdr:cNvPr id="5150" name="Check Box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24</xdr:row>
          <xdr:rowOff>19050</xdr:rowOff>
        </xdr:from>
        <xdr:to>
          <xdr:col>19</xdr:col>
          <xdr:colOff>638175</xdr:colOff>
          <xdr:row>24</xdr:row>
          <xdr:rowOff>228600</xdr:rowOff>
        </xdr:to>
        <xdr:sp macro="" textlink="">
          <xdr:nvSpPr>
            <xdr:cNvPr id="5151" name="Check Box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24</xdr:row>
          <xdr:rowOff>19050</xdr:rowOff>
        </xdr:from>
        <xdr:to>
          <xdr:col>19</xdr:col>
          <xdr:colOff>638175</xdr:colOff>
          <xdr:row>24</xdr:row>
          <xdr:rowOff>228600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25</xdr:row>
          <xdr:rowOff>19050</xdr:rowOff>
        </xdr:from>
        <xdr:to>
          <xdr:col>19</xdr:col>
          <xdr:colOff>638175</xdr:colOff>
          <xdr:row>25</xdr:row>
          <xdr:rowOff>228600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25</xdr:row>
          <xdr:rowOff>19050</xdr:rowOff>
        </xdr:from>
        <xdr:to>
          <xdr:col>19</xdr:col>
          <xdr:colOff>638175</xdr:colOff>
          <xdr:row>25</xdr:row>
          <xdr:rowOff>228600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1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26</xdr:row>
          <xdr:rowOff>0</xdr:rowOff>
        </xdr:from>
        <xdr:to>
          <xdr:col>19</xdr:col>
          <xdr:colOff>638175</xdr:colOff>
          <xdr:row>26</xdr:row>
          <xdr:rowOff>209550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1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26</xdr:row>
          <xdr:rowOff>0</xdr:rowOff>
        </xdr:from>
        <xdr:to>
          <xdr:col>19</xdr:col>
          <xdr:colOff>638175</xdr:colOff>
          <xdr:row>26</xdr:row>
          <xdr:rowOff>209550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1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26</xdr:row>
          <xdr:rowOff>257175</xdr:rowOff>
        </xdr:from>
        <xdr:to>
          <xdr:col>19</xdr:col>
          <xdr:colOff>638175</xdr:colOff>
          <xdr:row>28</xdr:row>
          <xdr:rowOff>38100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1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28</xdr:row>
          <xdr:rowOff>19050</xdr:rowOff>
        </xdr:from>
        <xdr:to>
          <xdr:col>19</xdr:col>
          <xdr:colOff>638175</xdr:colOff>
          <xdr:row>28</xdr:row>
          <xdr:rowOff>228600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1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28</xdr:row>
          <xdr:rowOff>19050</xdr:rowOff>
        </xdr:from>
        <xdr:to>
          <xdr:col>19</xdr:col>
          <xdr:colOff>638175</xdr:colOff>
          <xdr:row>28</xdr:row>
          <xdr:rowOff>228600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1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6</xdr:row>
          <xdr:rowOff>19050</xdr:rowOff>
        </xdr:from>
        <xdr:to>
          <xdr:col>21</xdr:col>
          <xdr:colOff>638175</xdr:colOff>
          <xdr:row>6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7</xdr:row>
          <xdr:rowOff>19050</xdr:rowOff>
        </xdr:from>
        <xdr:to>
          <xdr:col>21</xdr:col>
          <xdr:colOff>638175</xdr:colOff>
          <xdr:row>7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8</xdr:row>
          <xdr:rowOff>19050</xdr:rowOff>
        </xdr:from>
        <xdr:to>
          <xdr:col>21</xdr:col>
          <xdr:colOff>638175</xdr:colOff>
          <xdr:row>8</xdr:row>
          <xdr:rowOff>228600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9</xdr:row>
          <xdr:rowOff>19050</xdr:rowOff>
        </xdr:from>
        <xdr:to>
          <xdr:col>21</xdr:col>
          <xdr:colOff>638175</xdr:colOff>
          <xdr:row>9</xdr:row>
          <xdr:rowOff>228600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10</xdr:row>
          <xdr:rowOff>19050</xdr:rowOff>
        </xdr:from>
        <xdr:to>
          <xdr:col>21</xdr:col>
          <xdr:colOff>638175</xdr:colOff>
          <xdr:row>10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15</xdr:row>
          <xdr:rowOff>19050</xdr:rowOff>
        </xdr:from>
        <xdr:to>
          <xdr:col>19</xdr:col>
          <xdr:colOff>638175</xdr:colOff>
          <xdr:row>15</xdr:row>
          <xdr:rowOff>228600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16</xdr:row>
          <xdr:rowOff>19050</xdr:rowOff>
        </xdr:from>
        <xdr:to>
          <xdr:col>19</xdr:col>
          <xdr:colOff>638175</xdr:colOff>
          <xdr:row>16</xdr:row>
          <xdr:rowOff>228600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17</xdr:row>
          <xdr:rowOff>19050</xdr:rowOff>
        </xdr:from>
        <xdr:to>
          <xdr:col>19</xdr:col>
          <xdr:colOff>638175</xdr:colOff>
          <xdr:row>17</xdr:row>
          <xdr:rowOff>228600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18</xdr:row>
          <xdr:rowOff>19050</xdr:rowOff>
        </xdr:from>
        <xdr:to>
          <xdr:col>19</xdr:col>
          <xdr:colOff>638175</xdr:colOff>
          <xdr:row>18</xdr:row>
          <xdr:rowOff>228600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19</xdr:row>
          <xdr:rowOff>19050</xdr:rowOff>
        </xdr:from>
        <xdr:to>
          <xdr:col>19</xdr:col>
          <xdr:colOff>638175</xdr:colOff>
          <xdr:row>19</xdr:row>
          <xdr:rowOff>228600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20</xdr:row>
          <xdr:rowOff>19050</xdr:rowOff>
        </xdr:from>
        <xdr:to>
          <xdr:col>19</xdr:col>
          <xdr:colOff>638175</xdr:colOff>
          <xdr:row>20</xdr:row>
          <xdr:rowOff>228600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22</xdr:row>
          <xdr:rowOff>19050</xdr:rowOff>
        </xdr:from>
        <xdr:to>
          <xdr:col>19</xdr:col>
          <xdr:colOff>638175</xdr:colOff>
          <xdr:row>22</xdr:row>
          <xdr:rowOff>228600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2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21</xdr:row>
          <xdr:rowOff>19050</xdr:rowOff>
        </xdr:from>
        <xdr:to>
          <xdr:col>19</xdr:col>
          <xdr:colOff>638175</xdr:colOff>
          <xdr:row>21</xdr:row>
          <xdr:rowOff>228600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2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6</xdr:row>
          <xdr:rowOff>19050</xdr:rowOff>
        </xdr:from>
        <xdr:to>
          <xdr:col>21</xdr:col>
          <xdr:colOff>638175</xdr:colOff>
          <xdr:row>6</xdr:row>
          <xdr:rowOff>228600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7</xdr:row>
          <xdr:rowOff>19050</xdr:rowOff>
        </xdr:from>
        <xdr:to>
          <xdr:col>21</xdr:col>
          <xdr:colOff>638175</xdr:colOff>
          <xdr:row>7</xdr:row>
          <xdr:rowOff>228600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8</xdr:row>
          <xdr:rowOff>19050</xdr:rowOff>
        </xdr:from>
        <xdr:to>
          <xdr:col>21</xdr:col>
          <xdr:colOff>638175</xdr:colOff>
          <xdr:row>8</xdr:row>
          <xdr:rowOff>228600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3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9</xdr:row>
          <xdr:rowOff>19050</xdr:rowOff>
        </xdr:from>
        <xdr:to>
          <xdr:col>21</xdr:col>
          <xdr:colOff>638175</xdr:colOff>
          <xdr:row>9</xdr:row>
          <xdr:rowOff>228600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3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10</xdr:row>
          <xdr:rowOff>19050</xdr:rowOff>
        </xdr:from>
        <xdr:to>
          <xdr:col>21</xdr:col>
          <xdr:colOff>638175</xdr:colOff>
          <xdr:row>10</xdr:row>
          <xdr:rowOff>228600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3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11</xdr:row>
          <xdr:rowOff>19050</xdr:rowOff>
        </xdr:from>
        <xdr:to>
          <xdr:col>21</xdr:col>
          <xdr:colOff>638175</xdr:colOff>
          <xdr:row>11</xdr:row>
          <xdr:rowOff>228600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3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12</xdr:row>
          <xdr:rowOff>19050</xdr:rowOff>
        </xdr:from>
        <xdr:to>
          <xdr:col>21</xdr:col>
          <xdr:colOff>638175</xdr:colOff>
          <xdr:row>12</xdr:row>
          <xdr:rowOff>228600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3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13</xdr:row>
          <xdr:rowOff>19050</xdr:rowOff>
        </xdr:from>
        <xdr:to>
          <xdr:col>21</xdr:col>
          <xdr:colOff>638175</xdr:colOff>
          <xdr:row>13</xdr:row>
          <xdr:rowOff>228600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3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14</xdr:row>
          <xdr:rowOff>19050</xdr:rowOff>
        </xdr:from>
        <xdr:to>
          <xdr:col>21</xdr:col>
          <xdr:colOff>638175</xdr:colOff>
          <xdr:row>14</xdr:row>
          <xdr:rowOff>228600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3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19</xdr:row>
          <xdr:rowOff>19050</xdr:rowOff>
        </xdr:from>
        <xdr:to>
          <xdr:col>19</xdr:col>
          <xdr:colOff>638175</xdr:colOff>
          <xdr:row>19</xdr:row>
          <xdr:rowOff>228600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3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20</xdr:row>
          <xdr:rowOff>19050</xdr:rowOff>
        </xdr:from>
        <xdr:to>
          <xdr:col>19</xdr:col>
          <xdr:colOff>638175</xdr:colOff>
          <xdr:row>20</xdr:row>
          <xdr:rowOff>228600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3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21</xdr:row>
          <xdr:rowOff>19050</xdr:rowOff>
        </xdr:from>
        <xdr:to>
          <xdr:col>19</xdr:col>
          <xdr:colOff>638175</xdr:colOff>
          <xdr:row>21</xdr:row>
          <xdr:rowOff>228600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3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6</xdr:row>
          <xdr:rowOff>19050</xdr:rowOff>
        </xdr:from>
        <xdr:to>
          <xdr:col>21</xdr:col>
          <xdr:colOff>638175</xdr:colOff>
          <xdr:row>6</xdr:row>
          <xdr:rowOff>228600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6</xdr:row>
          <xdr:rowOff>19050</xdr:rowOff>
        </xdr:from>
        <xdr:to>
          <xdr:col>21</xdr:col>
          <xdr:colOff>638175</xdr:colOff>
          <xdr:row>6</xdr:row>
          <xdr:rowOff>228600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7</xdr:row>
          <xdr:rowOff>19050</xdr:rowOff>
        </xdr:from>
        <xdr:to>
          <xdr:col>21</xdr:col>
          <xdr:colOff>638175</xdr:colOff>
          <xdr:row>7</xdr:row>
          <xdr:rowOff>228600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7</xdr:row>
          <xdr:rowOff>19050</xdr:rowOff>
        </xdr:from>
        <xdr:to>
          <xdr:col>21</xdr:col>
          <xdr:colOff>638175</xdr:colOff>
          <xdr:row>7</xdr:row>
          <xdr:rowOff>228600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8</xdr:row>
          <xdr:rowOff>19050</xdr:rowOff>
        </xdr:from>
        <xdr:to>
          <xdr:col>21</xdr:col>
          <xdr:colOff>638175</xdr:colOff>
          <xdr:row>8</xdr:row>
          <xdr:rowOff>228600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4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8</xdr:row>
          <xdr:rowOff>19050</xdr:rowOff>
        </xdr:from>
        <xdr:to>
          <xdr:col>21</xdr:col>
          <xdr:colOff>638175</xdr:colOff>
          <xdr:row>8</xdr:row>
          <xdr:rowOff>228600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4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9</xdr:row>
          <xdr:rowOff>19050</xdr:rowOff>
        </xdr:from>
        <xdr:to>
          <xdr:col>21</xdr:col>
          <xdr:colOff>638175</xdr:colOff>
          <xdr:row>9</xdr:row>
          <xdr:rowOff>228600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4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9</xdr:row>
          <xdr:rowOff>19050</xdr:rowOff>
        </xdr:from>
        <xdr:to>
          <xdr:col>21</xdr:col>
          <xdr:colOff>638175</xdr:colOff>
          <xdr:row>9</xdr:row>
          <xdr:rowOff>228600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4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10</xdr:row>
          <xdr:rowOff>19050</xdr:rowOff>
        </xdr:from>
        <xdr:to>
          <xdr:col>21</xdr:col>
          <xdr:colOff>638175</xdr:colOff>
          <xdr:row>10</xdr:row>
          <xdr:rowOff>228600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4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10</xdr:row>
          <xdr:rowOff>19050</xdr:rowOff>
        </xdr:from>
        <xdr:to>
          <xdr:col>21</xdr:col>
          <xdr:colOff>638175</xdr:colOff>
          <xdr:row>10</xdr:row>
          <xdr:rowOff>228600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11</xdr:row>
          <xdr:rowOff>19050</xdr:rowOff>
        </xdr:from>
        <xdr:to>
          <xdr:col>21</xdr:col>
          <xdr:colOff>638175</xdr:colOff>
          <xdr:row>11</xdr:row>
          <xdr:rowOff>228600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4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11</xdr:row>
          <xdr:rowOff>19050</xdr:rowOff>
        </xdr:from>
        <xdr:to>
          <xdr:col>21</xdr:col>
          <xdr:colOff>638175</xdr:colOff>
          <xdr:row>11</xdr:row>
          <xdr:rowOff>228600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4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12</xdr:row>
          <xdr:rowOff>19050</xdr:rowOff>
        </xdr:from>
        <xdr:to>
          <xdr:col>21</xdr:col>
          <xdr:colOff>638175</xdr:colOff>
          <xdr:row>12</xdr:row>
          <xdr:rowOff>228600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4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12</xdr:row>
          <xdr:rowOff>19050</xdr:rowOff>
        </xdr:from>
        <xdr:to>
          <xdr:col>21</xdr:col>
          <xdr:colOff>638175</xdr:colOff>
          <xdr:row>12</xdr:row>
          <xdr:rowOff>228600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4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13</xdr:row>
          <xdr:rowOff>19050</xdr:rowOff>
        </xdr:from>
        <xdr:to>
          <xdr:col>21</xdr:col>
          <xdr:colOff>638175</xdr:colOff>
          <xdr:row>13</xdr:row>
          <xdr:rowOff>228600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4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13</xdr:row>
          <xdr:rowOff>19050</xdr:rowOff>
        </xdr:from>
        <xdr:to>
          <xdr:col>21</xdr:col>
          <xdr:colOff>638175</xdr:colOff>
          <xdr:row>13</xdr:row>
          <xdr:rowOff>228600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4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14</xdr:row>
          <xdr:rowOff>19050</xdr:rowOff>
        </xdr:from>
        <xdr:to>
          <xdr:col>21</xdr:col>
          <xdr:colOff>638175</xdr:colOff>
          <xdr:row>14</xdr:row>
          <xdr:rowOff>228600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4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14</xdr:row>
          <xdr:rowOff>19050</xdr:rowOff>
        </xdr:from>
        <xdr:to>
          <xdr:col>21</xdr:col>
          <xdr:colOff>638175</xdr:colOff>
          <xdr:row>14</xdr:row>
          <xdr:rowOff>228600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4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15</xdr:row>
          <xdr:rowOff>19050</xdr:rowOff>
        </xdr:from>
        <xdr:to>
          <xdr:col>21</xdr:col>
          <xdr:colOff>638175</xdr:colOff>
          <xdr:row>15</xdr:row>
          <xdr:rowOff>228600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4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15</xdr:row>
          <xdr:rowOff>19050</xdr:rowOff>
        </xdr:from>
        <xdr:to>
          <xdr:col>21</xdr:col>
          <xdr:colOff>638175</xdr:colOff>
          <xdr:row>15</xdr:row>
          <xdr:rowOff>228600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4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20</xdr:row>
          <xdr:rowOff>19050</xdr:rowOff>
        </xdr:from>
        <xdr:to>
          <xdr:col>19</xdr:col>
          <xdr:colOff>638175</xdr:colOff>
          <xdr:row>20</xdr:row>
          <xdr:rowOff>228600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4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20</xdr:row>
          <xdr:rowOff>19050</xdr:rowOff>
        </xdr:from>
        <xdr:to>
          <xdr:col>19</xdr:col>
          <xdr:colOff>638175</xdr:colOff>
          <xdr:row>20</xdr:row>
          <xdr:rowOff>228600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4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21</xdr:row>
          <xdr:rowOff>19050</xdr:rowOff>
        </xdr:from>
        <xdr:to>
          <xdr:col>19</xdr:col>
          <xdr:colOff>638175</xdr:colOff>
          <xdr:row>21</xdr:row>
          <xdr:rowOff>228600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4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21</xdr:row>
          <xdr:rowOff>19050</xdr:rowOff>
        </xdr:from>
        <xdr:to>
          <xdr:col>19</xdr:col>
          <xdr:colOff>638175</xdr:colOff>
          <xdr:row>21</xdr:row>
          <xdr:rowOff>228600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4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22</xdr:row>
          <xdr:rowOff>19050</xdr:rowOff>
        </xdr:from>
        <xdr:to>
          <xdr:col>19</xdr:col>
          <xdr:colOff>638175</xdr:colOff>
          <xdr:row>22</xdr:row>
          <xdr:rowOff>228600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4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22</xdr:row>
          <xdr:rowOff>19050</xdr:rowOff>
        </xdr:from>
        <xdr:to>
          <xdr:col>19</xdr:col>
          <xdr:colOff>638175</xdr:colOff>
          <xdr:row>22</xdr:row>
          <xdr:rowOff>228600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4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23</xdr:row>
          <xdr:rowOff>19050</xdr:rowOff>
        </xdr:from>
        <xdr:to>
          <xdr:col>19</xdr:col>
          <xdr:colOff>638175</xdr:colOff>
          <xdr:row>23</xdr:row>
          <xdr:rowOff>228600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4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23</xdr:row>
          <xdr:rowOff>19050</xdr:rowOff>
        </xdr:from>
        <xdr:to>
          <xdr:col>19</xdr:col>
          <xdr:colOff>638175</xdr:colOff>
          <xdr:row>23</xdr:row>
          <xdr:rowOff>228600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4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24</xdr:row>
          <xdr:rowOff>19050</xdr:rowOff>
        </xdr:from>
        <xdr:to>
          <xdr:col>19</xdr:col>
          <xdr:colOff>638175</xdr:colOff>
          <xdr:row>24</xdr:row>
          <xdr:rowOff>228600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4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24</xdr:row>
          <xdr:rowOff>19050</xdr:rowOff>
        </xdr:from>
        <xdr:to>
          <xdr:col>19</xdr:col>
          <xdr:colOff>638175</xdr:colOff>
          <xdr:row>24</xdr:row>
          <xdr:rowOff>228600</xdr:rowOff>
        </xdr:to>
        <xdr:sp macro="" textlink="">
          <xdr:nvSpPr>
            <xdr:cNvPr id="4128" name="Check Box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4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25</xdr:row>
          <xdr:rowOff>19050</xdr:rowOff>
        </xdr:from>
        <xdr:to>
          <xdr:col>19</xdr:col>
          <xdr:colOff>638175</xdr:colOff>
          <xdr:row>25</xdr:row>
          <xdr:rowOff>228600</xdr:rowOff>
        </xdr:to>
        <xdr:sp macro="" textlink="">
          <xdr:nvSpPr>
            <xdr:cNvPr id="4129" name="Check Box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4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25</xdr:row>
          <xdr:rowOff>19050</xdr:rowOff>
        </xdr:from>
        <xdr:to>
          <xdr:col>19</xdr:col>
          <xdr:colOff>638175</xdr:colOff>
          <xdr:row>25</xdr:row>
          <xdr:rowOff>228600</xdr:rowOff>
        </xdr:to>
        <xdr:sp macro="" textlink="">
          <xdr:nvSpPr>
            <xdr:cNvPr id="4130" name="Check Box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0000000-0008-0000-0400-00002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26</xdr:row>
          <xdr:rowOff>19050</xdr:rowOff>
        </xdr:from>
        <xdr:to>
          <xdr:col>19</xdr:col>
          <xdr:colOff>638175</xdr:colOff>
          <xdr:row>26</xdr:row>
          <xdr:rowOff>228600</xdr:rowOff>
        </xdr:to>
        <xdr:sp macro="" textlink="">
          <xdr:nvSpPr>
            <xdr:cNvPr id="4131" name="Check Box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00000000-0008-0000-0400-00002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26</xdr:row>
          <xdr:rowOff>19050</xdr:rowOff>
        </xdr:from>
        <xdr:to>
          <xdr:col>19</xdr:col>
          <xdr:colOff>638175</xdr:colOff>
          <xdr:row>26</xdr:row>
          <xdr:rowOff>228600</xdr:rowOff>
        </xdr:to>
        <xdr:sp macro="" textlink="">
          <xdr:nvSpPr>
            <xdr:cNvPr id="4132" name="Check Box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4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27</xdr:row>
          <xdr:rowOff>0</xdr:rowOff>
        </xdr:from>
        <xdr:to>
          <xdr:col>19</xdr:col>
          <xdr:colOff>638175</xdr:colOff>
          <xdr:row>27</xdr:row>
          <xdr:rowOff>209550</xdr:rowOff>
        </xdr:to>
        <xdr:sp macro="" textlink="">
          <xdr:nvSpPr>
            <xdr:cNvPr id="4133" name="Check Box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00000000-0008-0000-0400-00002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27</xdr:row>
          <xdr:rowOff>0</xdr:rowOff>
        </xdr:from>
        <xdr:to>
          <xdr:col>19</xdr:col>
          <xdr:colOff>638175</xdr:colOff>
          <xdr:row>27</xdr:row>
          <xdr:rowOff>209550</xdr:rowOff>
        </xdr:to>
        <xdr:sp macro="" textlink="">
          <xdr:nvSpPr>
            <xdr:cNvPr id="4134" name="Check Box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00000000-0008-0000-0400-00002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27</xdr:row>
          <xdr:rowOff>0</xdr:rowOff>
        </xdr:from>
        <xdr:to>
          <xdr:col>19</xdr:col>
          <xdr:colOff>638175</xdr:colOff>
          <xdr:row>27</xdr:row>
          <xdr:rowOff>209550</xdr:rowOff>
        </xdr:to>
        <xdr:sp macro="" textlink="">
          <xdr:nvSpPr>
            <xdr:cNvPr id="4135" name="Check Box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4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27</xdr:row>
          <xdr:rowOff>0</xdr:rowOff>
        </xdr:from>
        <xdr:to>
          <xdr:col>19</xdr:col>
          <xdr:colOff>638175</xdr:colOff>
          <xdr:row>27</xdr:row>
          <xdr:rowOff>209550</xdr:rowOff>
        </xdr:to>
        <xdr:sp macro="" textlink="">
          <xdr:nvSpPr>
            <xdr:cNvPr id="4136" name="Check Box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0000000-0008-0000-0400-00002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27</xdr:row>
          <xdr:rowOff>19050</xdr:rowOff>
        </xdr:from>
        <xdr:to>
          <xdr:col>19</xdr:col>
          <xdr:colOff>638175</xdr:colOff>
          <xdr:row>27</xdr:row>
          <xdr:rowOff>228600</xdr:rowOff>
        </xdr:to>
        <xdr:sp macro="" textlink="">
          <xdr:nvSpPr>
            <xdr:cNvPr id="4137" name="Check Box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00000000-0008-0000-0400-00002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27</xdr:row>
          <xdr:rowOff>19050</xdr:rowOff>
        </xdr:from>
        <xdr:to>
          <xdr:col>19</xdr:col>
          <xdr:colOff>638175</xdr:colOff>
          <xdr:row>27</xdr:row>
          <xdr:rowOff>228600</xdr:rowOff>
        </xdr:to>
        <xdr:sp macro="" textlink="">
          <xdr:nvSpPr>
            <xdr:cNvPr id="4138" name="Check Box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00000000-0008-0000-0400-00002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6</xdr:row>
          <xdr:rowOff>19050</xdr:rowOff>
        </xdr:from>
        <xdr:to>
          <xdr:col>21</xdr:col>
          <xdr:colOff>638175</xdr:colOff>
          <xdr:row>6</xdr:row>
          <xdr:rowOff>228600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6</xdr:row>
          <xdr:rowOff>19050</xdr:rowOff>
        </xdr:from>
        <xdr:to>
          <xdr:col>21</xdr:col>
          <xdr:colOff>638175</xdr:colOff>
          <xdr:row>6</xdr:row>
          <xdr:rowOff>228600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7</xdr:row>
          <xdr:rowOff>19050</xdr:rowOff>
        </xdr:from>
        <xdr:to>
          <xdr:col>21</xdr:col>
          <xdr:colOff>638175</xdr:colOff>
          <xdr:row>7</xdr:row>
          <xdr:rowOff>228600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5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7</xdr:row>
          <xdr:rowOff>19050</xdr:rowOff>
        </xdr:from>
        <xdr:to>
          <xdr:col>21</xdr:col>
          <xdr:colOff>638175</xdr:colOff>
          <xdr:row>7</xdr:row>
          <xdr:rowOff>228600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5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8</xdr:row>
          <xdr:rowOff>19050</xdr:rowOff>
        </xdr:from>
        <xdr:to>
          <xdr:col>21</xdr:col>
          <xdr:colOff>638175</xdr:colOff>
          <xdr:row>8</xdr:row>
          <xdr:rowOff>228600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5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8</xdr:row>
          <xdr:rowOff>19050</xdr:rowOff>
        </xdr:from>
        <xdr:to>
          <xdr:col>21</xdr:col>
          <xdr:colOff>638175</xdr:colOff>
          <xdr:row>8</xdr:row>
          <xdr:rowOff>228600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5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9</xdr:row>
          <xdr:rowOff>19050</xdr:rowOff>
        </xdr:from>
        <xdr:to>
          <xdr:col>21</xdr:col>
          <xdr:colOff>638175</xdr:colOff>
          <xdr:row>9</xdr:row>
          <xdr:rowOff>228600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5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9</xdr:row>
          <xdr:rowOff>19050</xdr:rowOff>
        </xdr:from>
        <xdr:to>
          <xdr:col>21</xdr:col>
          <xdr:colOff>638175</xdr:colOff>
          <xdr:row>9</xdr:row>
          <xdr:rowOff>228600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5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10</xdr:row>
          <xdr:rowOff>19050</xdr:rowOff>
        </xdr:from>
        <xdr:to>
          <xdr:col>21</xdr:col>
          <xdr:colOff>638175</xdr:colOff>
          <xdr:row>10</xdr:row>
          <xdr:rowOff>228600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5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10</xdr:row>
          <xdr:rowOff>19050</xdr:rowOff>
        </xdr:from>
        <xdr:to>
          <xdr:col>21</xdr:col>
          <xdr:colOff>638175</xdr:colOff>
          <xdr:row>10</xdr:row>
          <xdr:rowOff>228600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5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11</xdr:row>
          <xdr:rowOff>19050</xdr:rowOff>
        </xdr:from>
        <xdr:to>
          <xdr:col>21</xdr:col>
          <xdr:colOff>638175</xdr:colOff>
          <xdr:row>11</xdr:row>
          <xdr:rowOff>228600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5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11</xdr:row>
          <xdr:rowOff>19050</xdr:rowOff>
        </xdr:from>
        <xdr:to>
          <xdr:col>21</xdr:col>
          <xdr:colOff>638175</xdr:colOff>
          <xdr:row>11</xdr:row>
          <xdr:rowOff>228600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5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12</xdr:row>
          <xdr:rowOff>19050</xdr:rowOff>
        </xdr:from>
        <xdr:to>
          <xdr:col>21</xdr:col>
          <xdr:colOff>638175</xdr:colOff>
          <xdr:row>12</xdr:row>
          <xdr:rowOff>228600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5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12</xdr:row>
          <xdr:rowOff>19050</xdr:rowOff>
        </xdr:from>
        <xdr:to>
          <xdr:col>21</xdr:col>
          <xdr:colOff>638175</xdr:colOff>
          <xdr:row>12</xdr:row>
          <xdr:rowOff>228600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5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13</xdr:row>
          <xdr:rowOff>19050</xdr:rowOff>
        </xdr:from>
        <xdr:to>
          <xdr:col>21</xdr:col>
          <xdr:colOff>638175</xdr:colOff>
          <xdr:row>13</xdr:row>
          <xdr:rowOff>228600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5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13</xdr:row>
          <xdr:rowOff>19050</xdr:rowOff>
        </xdr:from>
        <xdr:to>
          <xdr:col>21</xdr:col>
          <xdr:colOff>638175</xdr:colOff>
          <xdr:row>13</xdr:row>
          <xdr:rowOff>228600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5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14</xdr:row>
          <xdr:rowOff>19050</xdr:rowOff>
        </xdr:from>
        <xdr:to>
          <xdr:col>21</xdr:col>
          <xdr:colOff>638175</xdr:colOff>
          <xdr:row>14</xdr:row>
          <xdr:rowOff>228600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5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14</xdr:row>
          <xdr:rowOff>19050</xdr:rowOff>
        </xdr:from>
        <xdr:to>
          <xdr:col>21</xdr:col>
          <xdr:colOff>638175</xdr:colOff>
          <xdr:row>14</xdr:row>
          <xdr:rowOff>228600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5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15</xdr:row>
          <xdr:rowOff>19050</xdr:rowOff>
        </xdr:from>
        <xdr:to>
          <xdr:col>21</xdr:col>
          <xdr:colOff>638175</xdr:colOff>
          <xdr:row>15</xdr:row>
          <xdr:rowOff>228600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5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15</xdr:row>
          <xdr:rowOff>19050</xdr:rowOff>
        </xdr:from>
        <xdr:to>
          <xdr:col>21</xdr:col>
          <xdr:colOff>638175</xdr:colOff>
          <xdr:row>15</xdr:row>
          <xdr:rowOff>228600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5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16</xdr:row>
          <xdr:rowOff>19050</xdr:rowOff>
        </xdr:from>
        <xdr:to>
          <xdr:col>21</xdr:col>
          <xdr:colOff>638175</xdr:colOff>
          <xdr:row>16</xdr:row>
          <xdr:rowOff>228600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5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16</xdr:row>
          <xdr:rowOff>19050</xdr:rowOff>
        </xdr:from>
        <xdr:to>
          <xdr:col>21</xdr:col>
          <xdr:colOff>638175</xdr:colOff>
          <xdr:row>16</xdr:row>
          <xdr:rowOff>228600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5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21</xdr:row>
          <xdr:rowOff>0</xdr:rowOff>
        </xdr:from>
        <xdr:to>
          <xdr:col>19</xdr:col>
          <xdr:colOff>638175</xdr:colOff>
          <xdr:row>21</xdr:row>
          <xdr:rowOff>209550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5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21</xdr:row>
          <xdr:rowOff>0</xdr:rowOff>
        </xdr:from>
        <xdr:to>
          <xdr:col>19</xdr:col>
          <xdr:colOff>638175</xdr:colOff>
          <xdr:row>21</xdr:row>
          <xdr:rowOff>209550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5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21</xdr:row>
          <xdr:rowOff>0</xdr:rowOff>
        </xdr:from>
        <xdr:to>
          <xdr:col>19</xdr:col>
          <xdr:colOff>638175</xdr:colOff>
          <xdr:row>21</xdr:row>
          <xdr:rowOff>209550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5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21</xdr:row>
          <xdr:rowOff>0</xdr:rowOff>
        </xdr:from>
        <xdr:to>
          <xdr:col>19</xdr:col>
          <xdr:colOff>638175</xdr:colOff>
          <xdr:row>21</xdr:row>
          <xdr:rowOff>209550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5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21</xdr:row>
          <xdr:rowOff>0</xdr:rowOff>
        </xdr:from>
        <xdr:to>
          <xdr:col>19</xdr:col>
          <xdr:colOff>638175</xdr:colOff>
          <xdr:row>21</xdr:row>
          <xdr:rowOff>209550</xdr:rowOff>
        </xdr:to>
        <xdr:sp macro="" textlink="">
          <xdr:nvSpPr>
            <xdr:cNvPr id="6171" name="Check Box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00000000-0008-0000-0500-00001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21</xdr:row>
          <xdr:rowOff>0</xdr:rowOff>
        </xdr:from>
        <xdr:to>
          <xdr:col>19</xdr:col>
          <xdr:colOff>638175</xdr:colOff>
          <xdr:row>21</xdr:row>
          <xdr:rowOff>209550</xdr:rowOff>
        </xdr:to>
        <xdr:sp macro="" textlink="">
          <xdr:nvSpPr>
            <xdr:cNvPr id="6172" name="Check Box 28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00000000-0008-0000-0500-00001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21</xdr:row>
          <xdr:rowOff>19050</xdr:rowOff>
        </xdr:from>
        <xdr:to>
          <xdr:col>19</xdr:col>
          <xdr:colOff>638175</xdr:colOff>
          <xdr:row>21</xdr:row>
          <xdr:rowOff>228600</xdr:rowOff>
        </xdr:to>
        <xdr:sp macro="" textlink="">
          <xdr:nvSpPr>
            <xdr:cNvPr id="6173" name="Check Box 29" hidden="1">
              <a:extLst>
                <a:ext uri="{63B3BB69-23CF-44E3-9099-C40C66FF867C}">
                  <a14:compatExt spid="_x0000_s6173"/>
                </a:ext>
                <a:ext uri="{FF2B5EF4-FFF2-40B4-BE49-F238E27FC236}">
                  <a16:creationId xmlns:a16="http://schemas.microsoft.com/office/drawing/2014/main" id="{00000000-0008-0000-0500-00001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21</xdr:row>
          <xdr:rowOff>19050</xdr:rowOff>
        </xdr:from>
        <xdr:to>
          <xdr:col>19</xdr:col>
          <xdr:colOff>638175</xdr:colOff>
          <xdr:row>21</xdr:row>
          <xdr:rowOff>228600</xdr:rowOff>
        </xdr:to>
        <xdr:sp macro="" textlink="">
          <xdr:nvSpPr>
            <xdr:cNvPr id="6174" name="Check Box 30" hidden="1">
              <a:extLst>
                <a:ext uri="{63B3BB69-23CF-44E3-9099-C40C66FF867C}">
                  <a14:compatExt spid="_x0000_s6174"/>
                </a:ext>
                <a:ext uri="{FF2B5EF4-FFF2-40B4-BE49-F238E27FC236}">
                  <a16:creationId xmlns:a16="http://schemas.microsoft.com/office/drawing/2014/main" id="{00000000-0008-0000-0500-00001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22</xdr:row>
          <xdr:rowOff>19050</xdr:rowOff>
        </xdr:from>
        <xdr:to>
          <xdr:col>19</xdr:col>
          <xdr:colOff>638175</xdr:colOff>
          <xdr:row>22</xdr:row>
          <xdr:rowOff>228600</xdr:rowOff>
        </xdr:to>
        <xdr:sp macro="" textlink="">
          <xdr:nvSpPr>
            <xdr:cNvPr id="6175" name="Check Box 31" hidden="1">
              <a:extLst>
                <a:ext uri="{63B3BB69-23CF-44E3-9099-C40C66FF867C}">
                  <a14:compatExt spid="_x0000_s6175"/>
                </a:ext>
                <a:ext uri="{FF2B5EF4-FFF2-40B4-BE49-F238E27FC236}">
                  <a16:creationId xmlns:a16="http://schemas.microsoft.com/office/drawing/2014/main" id="{00000000-0008-0000-0500-00001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22</xdr:row>
          <xdr:rowOff>19050</xdr:rowOff>
        </xdr:from>
        <xdr:to>
          <xdr:col>19</xdr:col>
          <xdr:colOff>638175</xdr:colOff>
          <xdr:row>22</xdr:row>
          <xdr:rowOff>228600</xdr:rowOff>
        </xdr:to>
        <xdr:sp macro="" textlink="">
          <xdr:nvSpPr>
            <xdr:cNvPr id="6176" name="Check Box 32" hidden="1">
              <a:extLst>
                <a:ext uri="{63B3BB69-23CF-44E3-9099-C40C66FF867C}">
                  <a14:compatExt spid="_x0000_s6176"/>
                </a:ext>
                <a:ext uri="{FF2B5EF4-FFF2-40B4-BE49-F238E27FC236}">
                  <a16:creationId xmlns:a16="http://schemas.microsoft.com/office/drawing/2014/main" id="{00000000-0008-0000-0500-00002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23</xdr:row>
          <xdr:rowOff>0</xdr:rowOff>
        </xdr:from>
        <xdr:to>
          <xdr:col>19</xdr:col>
          <xdr:colOff>638175</xdr:colOff>
          <xdr:row>23</xdr:row>
          <xdr:rowOff>209550</xdr:rowOff>
        </xdr:to>
        <xdr:sp macro="" textlink="">
          <xdr:nvSpPr>
            <xdr:cNvPr id="6177" name="Check Box 33" hidden="1">
              <a:extLst>
                <a:ext uri="{63B3BB69-23CF-44E3-9099-C40C66FF867C}">
                  <a14:compatExt spid="_x0000_s6177"/>
                </a:ext>
                <a:ext uri="{FF2B5EF4-FFF2-40B4-BE49-F238E27FC236}">
                  <a16:creationId xmlns:a16="http://schemas.microsoft.com/office/drawing/2014/main" id="{00000000-0008-0000-0500-00002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23</xdr:row>
          <xdr:rowOff>0</xdr:rowOff>
        </xdr:from>
        <xdr:to>
          <xdr:col>19</xdr:col>
          <xdr:colOff>638175</xdr:colOff>
          <xdr:row>23</xdr:row>
          <xdr:rowOff>209550</xdr:rowOff>
        </xdr:to>
        <xdr:sp macro="" textlink="">
          <xdr:nvSpPr>
            <xdr:cNvPr id="6178" name="Check Box 34" hidden="1">
              <a:extLst>
                <a:ext uri="{63B3BB69-23CF-44E3-9099-C40C66FF867C}">
                  <a14:compatExt spid="_x0000_s6178"/>
                </a:ext>
                <a:ext uri="{FF2B5EF4-FFF2-40B4-BE49-F238E27FC236}">
                  <a16:creationId xmlns:a16="http://schemas.microsoft.com/office/drawing/2014/main" id="{00000000-0008-0000-0500-00002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6</xdr:row>
          <xdr:rowOff>19050</xdr:rowOff>
        </xdr:from>
        <xdr:to>
          <xdr:col>21</xdr:col>
          <xdr:colOff>638175</xdr:colOff>
          <xdr:row>6</xdr:row>
          <xdr:rowOff>228600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6</xdr:row>
          <xdr:rowOff>19050</xdr:rowOff>
        </xdr:from>
        <xdr:to>
          <xdr:col>21</xdr:col>
          <xdr:colOff>638175</xdr:colOff>
          <xdr:row>6</xdr:row>
          <xdr:rowOff>228600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7</xdr:row>
          <xdr:rowOff>19050</xdr:rowOff>
        </xdr:from>
        <xdr:to>
          <xdr:col>21</xdr:col>
          <xdr:colOff>638175</xdr:colOff>
          <xdr:row>7</xdr:row>
          <xdr:rowOff>228600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6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7</xdr:row>
          <xdr:rowOff>19050</xdr:rowOff>
        </xdr:from>
        <xdr:to>
          <xdr:col>21</xdr:col>
          <xdr:colOff>638175</xdr:colOff>
          <xdr:row>7</xdr:row>
          <xdr:rowOff>228600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8</xdr:row>
          <xdr:rowOff>19050</xdr:rowOff>
        </xdr:from>
        <xdr:to>
          <xdr:col>21</xdr:col>
          <xdr:colOff>638175</xdr:colOff>
          <xdr:row>8</xdr:row>
          <xdr:rowOff>228600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6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8</xdr:row>
          <xdr:rowOff>19050</xdr:rowOff>
        </xdr:from>
        <xdr:to>
          <xdr:col>21</xdr:col>
          <xdr:colOff>638175</xdr:colOff>
          <xdr:row>8</xdr:row>
          <xdr:rowOff>228600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6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9</xdr:row>
          <xdr:rowOff>19050</xdr:rowOff>
        </xdr:from>
        <xdr:to>
          <xdr:col>21</xdr:col>
          <xdr:colOff>638175</xdr:colOff>
          <xdr:row>9</xdr:row>
          <xdr:rowOff>228600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6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9</xdr:row>
          <xdr:rowOff>19050</xdr:rowOff>
        </xdr:from>
        <xdr:to>
          <xdr:col>21</xdr:col>
          <xdr:colOff>638175</xdr:colOff>
          <xdr:row>9</xdr:row>
          <xdr:rowOff>228600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6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10</xdr:row>
          <xdr:rowOff>19050</xdr:rowOff>
        </xdr:from>
        <xdr:to>
          <xdr:col>21</xdr:col>
          <xdr:colOff>638175</xdr:colOff>
          <xdr:row>10</xdr:row>
          <xdr:rowOff>228600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6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10</xdr:row>
          <xdr:rowOff>19050</xdr:rowOff>
        </xdr:from>
        <xdr:to>
          <xdr:col>21</xdr:col>
          <xdr:colOff>638175</xdr:colOff>
          <xdr:row>10</xdr:row>
          <xdr:rowOff>228600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6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11</xdr:row>
          <xdr:rowOff>19050</xdr:rowOff>
        </xdr:from>
        <xdr:to>
          <xdr:col>21</xdr:col>
          <xdr:colOff>638175</xdr:colOff>
          <xdr:row>11</xdr:row>
          <xdr:rowOff>228600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6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11</xdr:row>
          <xdr:rowOff>19050</xdr:rowOff>
        </xdr:from>
        <xdr:to>
          <xdr:col>21</xdr:col>
          <xdr:colOff>638175</xdr:colOff>
          <xdr:row>11</xdr:row>
          <xdr:rowOff>228600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6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12</xdr:row>
          <xdr:rowOff>19050</xdr:rowOff>
        </xdr:from>
        <xdr:to>
          <xdr:col>21</xdr:col>
          <xdr:colOff>638175</xdr:colOff>
          <xdr:row>12</xdr:row>
          <xdr:rowOff>228600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6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12</xdr:row>
          <xdr:rowOff>19050</xdr:rowOff>
        </xdr:from>
        <xdr:to>
          <xdr:col>21</xdr:col>
          <xdr:colOff>638175</xdr:colOff>
          <xdr:row>12</xdr:row>
          <xdr:rowOff>228600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6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13</xdr:row>
          <xdr:rowOff>19050</xdr:rowOff>
        </xdr:from>
        <xdr:to>
          <xdr:col>21</xdr:col>
          <xdr:colOff>638175</xdr:colOff>
          <xdr:row>13</xdr:row>
          <xdr:rowOff>228600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6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13</xdr:row>
          <xdr:rowOff>19050</xdr:rowOff>
        </xdr:from>
        <xdr:to>
          <xdr:col>21</xdr:col>
          <xdr:colOff>638175</xdr:colOff>
          <xdr:row>13</xdr:row>
          <xdr:rowOff>228600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6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14</xdr:row>
          <xdr:rowOff>19050</xdr:rowOff>
        </xdr:from>
        <xdr:to>
          <xdr:col>21</xdr:col>
          <xdr:colOff>638175</xdr:colOff>
          <xdr:row>14</xdr:row>
          <xdr:rowOff>228600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6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14</xdr:row>
          <xdr:rowOff>19050</xdr:rowOff>
        </xdr:from>
        <xdr:to>
          <xdr:col>21</xdr:col>
          <xdr:colOff>638175</xdr:colOff>
          <xdr:row>14</xdr:row>
          <xdr:rowOff>228600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6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15</xdr:row>
          <xdr:rowOff>19050</xdr:rowOff>
        </xdr:from>
        <xdr:to>
          <xdr:col>21</xdr:col>
          <xdr:colOff>638175</xdr:colOff>
          <xdr:row>15</xdr:row>
          <xdr:rowOff>228600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6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15</xdr:row>
          <xdr:rowOff>19050</xdr:rowOff>
        </xdr:from>
        <xdr:to>
          <xdr:col>21</xdr:col>
          <xdr:colOff>638175</xdr:colOff>
          <xdr:row>15</xdr:row>
          <xdr:rowOff>228600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6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16</xdr:row>
          <xdr:rowOff>19050</xdr:rowOff>
        </xdr:from>
        <xdr:to>
          <xdr:col>21</xdr:col>
          <xdr:colOff>638175</xdr:colOff>
          <xdr:row>16</xdr:row>
          <xdr:rowOff>228600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6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16</xdr:row>
          <xdr:rowOff>19050</xdr:rowOff>
        </xdr:from>
        <xdr:to>
          <xdr:col>21</xdr:col>
          <xdr:colOff>638175</xdr:colOff>
          <xdr:row>16</xdr:row>
          <xdr:rowOff>228600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6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17</xdr:row>
          <xdr:rowOff>0</xdr:rowOff>
        </xdr:from>
        <xdr:to>
          <xdr:col>21</xdr:col>
          <xdr:colOff>638175</xdr:colOff>
          <xdr:row>17</xdr:row>
          <xdr:rowOff>209550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6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17</xdr:row>
          <xdr:rowOff>0</xdr:rowOff>
        </xdr:from>
        <xdr:to>
          <xdr:col>21</xdr:col>
          <xdr:colOff>638175</xdr:colOff>
          <xdr:row>17</xdr:row>
          <xdr:rowOff>209550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6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22</xdr:row>
          <xdr:rowOff>19050</xdr:rowOff>
        </xdr:from>
        <xdr:to>
          <xdr:col>19</xdr:col>
          <xdr:colOff>638175</xdr:colOff>
          <xdr:row>22</xdr:row>
          <xdr:rowOff>228600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6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22</xdr:row>
          <xdr:rowOff>19050</xdr:rowOff>
        </xdr:from>
        <xdr:to>
          <xdr:col>19</xdr:col>
          <xdr:colOff>638175</xdr:colOff>
          <xdr:row>22</xdr:row>
          <xdr:rowOff>228600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6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23</xdr:row>
          <xdr:rowOff>19050</xdr:rowOff>
        </xdr:from>
        <xdr:to>
          <xdr:col>19</xdr:col>
          <xdr:colOff>638175</xdr:colOff>
          <xdr:row>23</xdr:row>
          <xdr:rowOff>228600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6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23</xdr:row>
          <xdr:rowOff>19050</xdr:rowOff>
        </xdr:from>
        <xdr:to>
          <xdr:col>19</xdr:col>
          <xdr:colOff>638175</xdr:colOff>
          <xdr:row>23</xdr:row>
          <xdr:rowOff>228600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00000000-0008-0000-0600-00002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6</xdr:row>
          <xdr:rowOff>19050</xdr:rowOff>
        </xdr:from>
        <xdr:to>
          <xdr:col>21</xdr:col>
          <xdr:colOff>638175</xdr:colOff>
          <xdr:row>6</xdr:row>
          <xdr:rowOff>228600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7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6</xdr:row>
          <xdr:rowOff>19050</xdr:rowOff>
        </xdr:from>
        <xdr:to>
          <xdr:col>21</xdr:col>
          <xdr:colOff>638175</xdr:colOff>
          <xdr:row>6</xdr:row>
          <xdr:rowOff>228600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7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7</xdr:row>
          <xdr:rowOff>0</xdr:rowOff>
        </xdr:from>
        <xdr:to>
          <xdr:col>21</xdr:col>
          <xdr:colOff>638175</xdr:colOff>
          <xdr:row>7</xdr:row>
          <xdr:rowOff>209550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7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7</xdr:row>
          <xdr:rowOff>0</xdr:rowOff>
        </xdr:from>
        <xdr:to>
          <xdr:col>21</xdr:col>
          <xdr:colOff>638175</xdr:colOff>
          <xdr:row>7</xdr:row>
          <xdr:rowOff>209550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7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8</xdr:row>
          <xdr:rowOff>19050</xdr:rowOff>
        </xdr:from>
        <xdr:to>
          <xdr:col>21</xdr:col>
          <xdr:colOff>638175</xdr:colOff>
          <xdr:row>8</xdr:row>
          <xdr:rowOff>228600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7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8</xdr:row>
          <xdr:rowOff>19050</xdr:rowOff>
        </xdr:from>
        <xdr:to>
          <xdr:col>21</xdr:col>
          <xdr:colOff>638175</xdr:colOff>
          <xdr:row>8</xdr:row>
          <xdr:rowOff>228600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7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9</xdr:row>
          <xdr:rowOff>19050</xdr:rowOff>
        </xdr:from>
        <xdr:to>
          <xdr:col>21</xdr:col>
          <xdr:colOff>638175</xdr:colOff>
          <xdr:row>9</xdr:row>
          <xdr:rowOff>228600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7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9</xdr:row>
          <xdr:rowOff>19050</xdr:rowOff>
        </xdr:from>
        <xdr:to>
          <xdr:col>21</xdr:col>
          <xdr:colOff>638175</xdr:colOff>
          <xdr:row>9</xdr:row>
          <xdr:rowOff>228600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7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10</xdr:row>
          <xdr:rowOff>0</xdr:rowOff>
        </xdr:from>
        <xdr:to>
          <xdr:col>21</xdr:col>
          <xdr:colOff>638175</xdr:colOff>
          <xdr:row>10</xdr:row>
          <xdr:rowOff>209550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7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10</xdr:row>
          <xdr:rowOff>0</xdr:rowOff>
        </xdr:from>
        <xdr:to>
          <xdr:col>21</xdr:col>
          <xdr:colOff>638175</xdr:colOff>
          <xdr:row>10</xdr:row>
          <xdr:rowOff>209550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7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11</xdr:row>
          <xdr:rowOff>19050</xdr:rowOff>
        </xdr:from>
        <xdr:to>
          <xdr:col>21</xdr:col>
          <xdr:colOff>638175</xdr:colOff>
          <xdr:row>11</xdr:row>
          <xdr:rowOff>228600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7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11</xdr:row>
          <xdr:rowOff>19050</xdr:rowOff>
        </xdr:from>
        <xdr:to>
          <xdr:col>21</xdr:col>
          <xdr:colOff>638175</xdr:colOff>
          <xdr:row>11</xdr:row>
          <xdr:rowOff>228600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7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12</xdr:row>
          <xdr:rowOff>19050</xdr:rowOff>
        </xdr:from>
        <xdr:to>
          <xdr:col>21</xdr:col>
          <xdr:colOff>638175</xdr:colOff>
          <xdr:row>12</xdr:row>
          <xdr:rowOff>228600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7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12</xdr:row>
          <xdr:rowOff>19050</xdr:rowOff>
        </xdr:from>
        <xdr:to>
          <xdr:col>21</xdr:col>
          <xdr:colOff>638175</xdr:colOff>
          <xdr:row>12</xdr:row>
          <xdr:rowOff>228600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7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13</xdr:row>
          <xdr:rowOff>19050</xdr:rowOff>
        </xdr:from>
        <xdr:to>
          <xdr:col>21</xdr:col>
          <xdr:colOff>638175</xdr:colOff>
          <xdr:row>13</xdr:row>
          <xdr:rowOff>228600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7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13</xdr:row>
          <xdr:rowOff>19050</xdr:rowOff>
        </xdr:from>
        <xdr:to>
          <xdr:col>21</xdr:col>
          <xdr:colOff>638175</xdr:colOff>
          <xdr:row>13</xdr:row>
          <xdr:rowOff>228600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7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14</xdr:row>
          <xdr:rowOff>19050</xdr:rowOff>
        </xdr:from>
        <xdr:to>
          <xdr:col>21</xdr:col>
          <xdr:colOff>638175</xdr:colOff>
          <xdr:row>14</xdr:row>
          <xdr:rowOff>228600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7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14</xdr:row>
          <xdr:rowOff>19050</xdr:rowOff>
        </xdr:from>
        <xdr:to>
          <xdr:col>21</xdr:col>
          <xdr:colOff>638175</xdr:colOff>
          <xdr:row>14</xdr:row>
          <xdr:rowOff>228600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7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15</xdr:row>
          <xdr:rowOff>19050</xdr:rowOff>
        </xdr:from>
        <xdr:to>
          <xdr:col>21</xdr:col>
          <xdr:colOff>638175</xdr:colOff>
          <xdr:row>15</xdr:row>
          <xdr:rowOff>228600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7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15</xdr:row>
          <xdr:rowOff>19050</xdr:rowOff>
        </xdr:from>
        <xdr:to>
          <xdr:col>21</xdr:col>
          <xdr:colOff>638175</xdr:colOff>
          <xdr:row>15</xdr:row>
          <xdr:rowOff>228600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7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16</xdr:row>
          <xdr:rowOff>19050</xdr:rowOff>
        </xdr:from>
        <xdr:to>
          <xdr:col>21</xdr:col>
          <xdr:colOff>638175</xdr:colOff>
          <xdr:row>16</xdr:row>
          <xdr:rowOff>228600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7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16</xdr:row>
          <xdr:rowOff>19050</xdr:rowOff>
        </xdr:from>
        <xdr:to>
          <xdr:col>21</xdr:col>
          <xdr:colOff>638175</xdr:colOff>
          <xdr:row>16</xdr:row>
          <xdr:rowOff>228600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7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17</xdr:row>
          <xdr:rowOff>19050</xdr:rowOff>
        </xdr:from>
        <xdr:to>
          <xdr:col>21</xdr:col>
          <xdr:colOff>638175</xdr:colOff>
          <xdr:row>17</xdr:row>
          <xdr:rowOff>228600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7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17</xdr:row>
          <xdr:rowOff>19050</xdr:rowOff>
        </xdr:from>
        <xdr:to>
          <xdr:col>21</xdr:col>
          <xdr:colOff>638175</xdr:colOff>
          <xdr:row>17</xdr:row>
          <xdr:rowOff>228600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7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18</xdr:row>
          <xdr:rowOff>19050</xdr:rowOff>
        </xdr:from>
        <xdr:to>
          <xdr:col>21</xdr:col>
          <xdr:colOff>638175</xdr:colOff>
          <xdr:row>18</xdr:row>
          <xdr:rowOff>228600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7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18</xdr:row>
          <xdr:rowOff>19050</xdr:rowOff>
        </xdr:from>
        <xdr:to>
          <xdr:col>21</xdr:col>
          <xdr:colOff>638175</xdr:colOff>
          <xdr:row>18</xdr:row>
          <xdr:rowOff>228600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00000000-0008-0000-0700-00001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23</xdr:row>
          <xdr:rowOff>19050</xdr:rowOff>
        </xdr:from>
        <xdr:to>
          <xdr:col>19</xdr:col>
          <xdr:colOff>638175</xdr:colOff>
          <xdr:row>23</xdr:row>
          <xdr:rowOff>228600</xdr:rowOff>
        </xdr:to>
        <xdr:sp macro="" textlink="">
          <xdr:nvSpPr>
            <xdr:cNvPr id="8223" name="Check Box 31" hidden="1">
              <a:extLst>
                <a:ext uri="{63B3BB69-23CF-44E3-9099-C40C66FF867C}">
                  <a14:compatExt spid="_x0000_s8223"/>
                </a:ext>
                <a:ext uri="{FF2B5EF4-FFF2-40B4-BE49-F238E27FC236}">
                  <a16:creationId xmlns:a16="http://schemas.microsoft.com/office/drawing/2014/main" id="{00000000-0008-0000-0700-00001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23</xdr:row>
          <xdr:rowOff>19050</xdr:rowOff>
        </xdr:from>
        <xdr:to>
          <xdr:col>19</xdr:col>
          <xdr:colOff>638175</xdr:colOff>
          <xdr:row>23</xdr:row>
          <xdr:rowOff>228600</xdr:rowOff>
        </xdr:to>
        <xdr:sp macro="" textlink="">
          <xdr:nvSpPr>
            <xdr:cNvPr id="8224" name="Check Box 32" hidden="1">
              <a:extLst>
                <a:ext uri="{63B3BB69-23CF-44E3-9099-C40C66FF867C}">
                  <a14:compatExt spid="_x0000_s8224"/>
                </a:ext>
                <a:ext uri="{FF2B5EF4-FFF2-40B4-BE49-F238E27FC236}">
                  <a16:creationId xmlns:a16="http://schemas.microsoft.com/office/drawing/2014/main" id="{00000000-0008-0000-0700-00002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24</xdr:row>
          <xdr:rowOff>19050</xdr:rowOff>
        </xdr:from>
        <xdr:to>
          <xdr:col>19</xdr:col>
          <xdr:colOff>638175</xdr:colOff>
          <xdr:row>24</xdr:row>
          <xdr:rowOff>228600</xdr:rowOff>
        </xdr:to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00000000-0008-0000-0700-00002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24</xdr:row>
          <xdr:rowOff>19050</xdr:rowOff>
        </xdr:from>
        <xdr:to>
          <xdr:col>19</xdr:col>
          <xdr:colOff>638175</xdr:colOff>
          <xdr:row>24</xdr:row>
          <xdr:rowOff>228600</xdr:rowOff>
        </xdr:to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00000000-0008-0000-0700-00002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25</xdr:row>
          <xdr:rowOff>19050</xdr:rowOff>
        </xdr:from>
        <xdr:to>
          <xdr:col>19</xdr:col>
          <xdr:colOff>638175</xdr:colOff>
          <xdr:row>25</xdr:row>
          <xdr:rowOff>228600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7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25</xdr:row>
          <xdr:rowOff>19050</xdr:rowOff>
        </xdr:from>
        <xdr:to>
          <xdr:col>19</xdr:col>
          <xdr:colOff>638175</xdr:colOff>
          <xdr:row>25</xdr:row>
          <xdr:rowOff>228600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00000000-0008-0000-0700-00002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26</xdr:row>
          <xdr:rowOff>19050</xdr:rowOff>
        </xdr:from>
        <xdr:to>
          <xdr:col>19</xdr:col>
          <xdr:colOff>638175</xdr:colOff>
          <xdr:row>26</xdr:row>
          <xdr:rowOff>228600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00000000-0008-0000-0700-00002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26</xdr:row>
          <xdr:rowOff>19050</xdr:rowOff>
        </xdr:from>
        <xdr:to>
          <xdr:col>19</xdr:col>
          <xdr:colOff>638175</xdr:colOff>
          <xdr:row>26</xdr:row>
          <xdr:rowOff>228600</xdr:rowOff>
        </xdr:to>
        <xdr:sp macro="" textlink="">
          <xdr:nvSpPr>
            <xdr:cNvPr id="8230" name="Check Box 38" hidden="1">
              <a:extLst>
                <a:ext uri="{63B3BB69-23CF-44E3-9099-C40C66FF867C}">
                  <a14:compatExt spid="_x0000_s8230"/>
                </a:ext>
                <a:ext uri="{FF2B5EF4-FFF2-40B4-BE49-F238E27FC236}">
                  <a16:creationId xmlns:a16="http://schemas.microsoft.com/office/drawing/2014/main" id="{00000000-0008-0000-0700-00002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27</xdr:row>
          <xdr:rowOff>19050</xdr:rowOff>
        </xdr:from>
        <xdr:to>
          <xdr:col>19</xdr:col>
          <xdr:colOff>638175</xdr:colOff>
          <xdr:row>27</xdr:row>
          <xdr:rowOff>228600</xdr:rowOff>
        </xdr:to>
        <xdr:sp macro="" textlink="">
          <xdr:nvSpPr>
            <xdr:cNvPr id="8231" name="Check Box 39" hidden="1">
              <a:extLst>
                <a:ext uri="{63B3BB69-23CF-44E3-9099-C40C66FF867C}">
                  <a14:compatExt spid="_x0000_s8231"/>
                </a:ext>
                <a:ext uri="{FF2B5EF4-FFF2-40B4-BE49-F238E27FC236}">
                  <a16:creationId xmlns:a16="http://schemas.microsoft.com/office/drawing/2014/main" id="{00000000-0008-0000-0700-00002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27</xdr:row>
          <xdr:rowOff>19050</xdr:rowOff>
        </xdr:from>
        <xdr:to>
          <xdr:col>19</xdr:col>
          <xdr:colOff>638175</xdr:colOff>
          <xdr:row>27</xdr:row>
          <xdr:rowOff>228600</xdr:rowOff>
        </xdr:to>
        <xdr:sp macro="" textlink="">
          <xdr:nvSpPr>
            <xdr:cNvPr id="8232" name="Check Box 40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00000000-0008-0000-0700-00002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6</xdr:row>
          <xdr:rowOff>19050</xdr:rowOff>
        </xdr:from>
        <xdr:to>
          <xdr:col>21</xdr:col>
          <xdr:colOff>638175</xdr:colOff>
          <xdr:row>6</xdr:row>
          <xdr:rowOff>228600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6</xdr:row>
          <xdr:rowOff>19050</xdr:rowOff>
        </xdr:from>
        <xdr:to>
          <xdr:col>21</xdr:col>
          <xdr:colOff>638175</xdr:colOff>
          <xdr:row>6</xdr:row>
          <xdr:rowOff>228600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8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7</xdr:row>
          <xdr:rowOff>19050</xdr:rowOff>
        </xdr:from>
        <xdr:to>
          <xdr:col>21</xdr:col>
          <xdr:colOff>638175</xdr:colOff>
          <xdr:row>7</xdr:row>
          <xdr:rowOff>228600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8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7</xdr:row>
          <xdr:rowOff>19050</xdr:rowOff>
        </xdr:from>
        <xdr:to>
          <xdr:col>21</xdr:col>
          <xdr:colOff>638175</xdr:colOff>
          <xdr:row>7</xdr:row>
          <xdr:rowOff>228600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8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8</xdr:row>
          <xdr:rowOff>19050</xdr:rowOff>
        </xdr:from>
        <xdr:to>
          <xdr:col>21</xdr:col>
          <xdr:colOff>638175</xdr:colOff>
          <xdr:row>8</xdr:row>
          <xdr:rowOff>228600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8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8</xdr:row>
          <xdr:rowOff>19050</xdr:rowOff>
        </xdr:from>
        <xdr:to>
          <xdr:col>21</xdr:col>
          <xdr:colOff>638175</xdr:colOff>
          <xdr:row>8</xdr:row>
          <xdr:rowOff>228600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8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9</xdr:row>
          <xdr:rowOff>19050</xdr:rowOff>
        </xdr:from>
        <xdr:to>
          <xdr:col>21</xdr:col>
          <xdr:colOff>638175</xdr:colOff>
          <xdr:row>9</xdr:row>
          <xdr:rowOff>228600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8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9</xdr:row>
          <xdr:rowOff>19050</xdr:rowOff>
        </xdr:from>
        <xdr:to>
          <xdr:col>21</xdr:col>
          <xdr:colOff>638175</xdr:colOff>
          <xdr:row>9</xdr:row>
          <xdr:rowOff>228600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8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10</xdr:row>
          <xdr:rowOff>19050</xdr:rowOff>
        </xdr:from>
        <xdr:to>
          <xdr:col>21</xdr:col>
          <xdr:colOff>638175</xdr:colOff>
          <xdr:row>10</xdr:row>
          <xdr:rowOff>228600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8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10</xdr:row>
          <xdr:rowOff>19050</xdr:rowOff>
        </xdr:from>
        <xdr:to>
          <xdr:col>21</xdr:col>
          <xdr:colOff>638175</xdr:colOff>
          <xdr:row>10</xdr:row>
          <xdr:rowOff>228600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8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11</xdr:row>
          <xdr:rowOff>19050</xdr:rowOff>
        </xdr:from>
        <xdr:to>
          <xdr:col>21</xdr:col>
          <xdr:colOff>638175</xdr:colOff>
          <xdr:row>11</xdr:row>
          <xdr:rowOff>228600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8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11</xdr:row>
          <xdr:rowOff>19050</xdr:rowOff>
        </xdr:from>
        <xdr:to>
          <xdr:col>21</xdr:col>
          <xdr:colOff>638175</xdr:colOff>
          <xdr:row>11</xdr:row>
          <xdr:rowOff>228600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8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12</xdr:row>
          <xdr:rowOff>0</xdr:rowOff>
        </xdr:from>
        <xdr:to>
          <xdr:col>21</xdr:col>
          <xdr:colOff>638175</xdr:colOff>
          <xdr:row>12</xdr:row>
          <xdr:rowOff>209550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8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12</xdr:row>
          <xdr:rowOff>0</xdr:rowOff>
        </xdr:from>
        <xdr:to>
          <xdr:col>21</xdr:col>
          <xdr:colOff>638175</xdr:colOff>
          <xdr:row>12</xdr:row>
          <xdr:rowOff>209550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8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13</xdr:row>
          <xdr:rowOff>19050</xdr:rowOff>
        </xdr:from>
        <xdr:to>
          <xdr:col>21</xdr:col>
          <xdr:colOff>638175</xdr:colOff>
          <xdr:row>13</xdr:row>
          <xdr:rowOff>228600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8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13</xdr:row>
          <xdr:rowOff>19050</xdr:rowOff>
        </xdr:from>
        <xdr:to>
          <xdr:col>21</xdr:col>
          <xdr:colOff>638175</xdr:colOff>
          <xdr:row>13</xdr:row>
          <xdr:rowOff>228600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8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14</xdr:row>
          <xdr:rowOff>19050</xdr:rowOff>
        </xdr:from>
        <xdr:to>
          <xdr:col>21</xdr:col>
          <xdr:colOff>638175</xdr:colOff>
          <xdr:row>14</xdr:row>
          <xdr:rowOff>228600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8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14</xdr:row>
          <xdr:rowOff>19050</xdr:rowOff>
        </xdr:from>
        <xdr:to>
          <xdr:col>21</xdr:col>
          <xdr:colOff>638175</xdr:colOff>
          <xdr:row>14</xdr:row>
          <xdr:rowOff>228600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8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15</xdr:row>
          <xdr:rowOff>19050</xdr:rowOff>
        </xdr:from>
        <xdr:to>
          <xdr:col>21</xdr:col>
          <xdr:colOff>638175</xdr:colOff>
          <xdr:row>15</xdr:row>
          <xdr:rowOff>228600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8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15</xdr:row>
          <xdr:rowOff>19050</xdr:rowOff>
        </xdr:from>
        <xdr:to>
          <xdr:col>21</xdr:col>
          <xdr:colOff>638175</xdr:colOff>
          <xdr:row>15</xdr:row>
          <xdr:rowOff>228600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8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18</xdr:row>
          <xdr:rowOff>19050</xdr:rowOff>
        </xdr:from>
        <xdr:to>
          <xdr:col>21</xdr:col>
          <xdr:colOff>638175</xdr:colOff>
          <xdr:row>18</xdr:row>
          <xdr:rowOff>228600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8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18</xdr:row>
          <xdr:rowOff>19050</xdr:rowOff>
        </xdr:from>
        <xdr:to>
          <xdr:col>21</xdr:col>
          <xdr:colOff>638175</xdr:colOff>
          <xdr:row>18</xdr:row>
          <xdr:rowOff>228600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8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19</xdr:row>
          <xdr:rowOff>19050</xdr:rowOff>
        </xdr:from>
        <xdr:to>
          <xdr:col>21</xdr:col>
          <xdr:colOff>638175</xdr:colOff>
          <xdr:row>19</xdr:row>
          <xdr:rowOff>228600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8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19</xdr:row>
          <xdr:rowOff>19050</xdr:rowOff>
        </xdr:from>
        <xdr:to>
          <xdr:col>21</xdr:col>
          <xdr:colOff>638175</xdr:colOff>
          <xdr:row>19</xdr:row>
          <xdr:rowOff>228600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8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20</xdr:row>
          <xdr:rowOff>19050</xdr:rowOff>
        </xdr:from>
        <xdr:to>
          <xdr:col>21</xdr:col>
          <xdr:colOff>638175</xdr:colOff>
          <xdr:row>20</xdr:row>
          <xdr:rowOff>228600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8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20</xdr:row>
          <xdr:rowOff>19050</xdr:rowOff>
        </xdr:from>
        <xdr:to>
          <xdr:col>21</xdr:col>
          <xdr:colOff>638175</xdr:colOff>
          <xdr:row>20</xdr:row>
          <xdr:rowOff>228600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8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26</xdr:row>
          <xdr:rowOff>19050</xdr:rowOff>
        </xdr:from>
        <xdr:to>
          <xdr:col>19</xdr:col>
          <xdr:colOff>638175</xdr:colOff>
          <xdr:row>26</xdr:row>
          <xdr:rowOff>228600</xdr:rowOff>
        </xdr:to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8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26</xdr:row>
          <xdr:rowOff>19050</xdr:rowOff>
        </xdr:from>
        <xdr:to>
          <xdr:col>19</xdr:col>
          <xdr:colOff>638175</xdr:colOff>
          <xdr:row>26</xdr:row>
          <xdr:rowOff>228600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8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27</xdr:row>
          <xdr:rowOff>19050</xdr:rowOff>
        </xdr:from>
        <xdr:to>
          <xdr:col>19</xdr:col>
          <xdr:colOff>638175</xdr:colOff>
          <xdr:row>27</xdr:row>
          <xdr:rowOff>228600</xdr:rowOff>
        </xdr:to>
        <xdr:sp macro="" textlink="">
          <xdr:nvSpPr>
            <xdr:cNvPr id="9253" name="Check Box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8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27</xdr:row>
          <xdr:rowOff>19050</xdr:rowOff>
        </xdr:from>
        <xdr:to>
          <xdr:col>19</xdr:col>
          <xdr:colOff>638175</xdr:colOff>
          <xdr:row>27</xdr:row>
          <xdr:rowOff>228600</xdr:rowOff>
        </xdr:to>
        <xdr:sp macro="" textlink="">
          <xdr:nvSpPr>
            <xdr:cNvPr id="9254" name="Check Box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8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28</xdr:row>
          <xdr:rowOff>19050</xdr:rowOff>
        </xdr:from>
        <xdr:to>
          <xdr:col>19</xdr:col>
          <xdr:colOff>638175</xdr:colOff>
          <xdr:row>28</xdr:row>
          <xdr:rowOff>228600</xdr:rowOff>
        </xdr:to>
        <xdr:sp macro="" textlink="">
          <xdr:nvSpPr>
            <xdr:cNvPr id="9255" name="Check Box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8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28</xdr:row>
          <xdr:rowOff>19050</xdr:rowOff>
        </xdr:from>
        <xdr:to>
          <xdr:col>19</xdr:col>
          <xdr:colOff>638175</xdr:colOff>
          <xdr:row>28</xdr:row>
          <xdr:rowOff>228600</xdr:rowOff>
        </xdr:to>
        <xdr:sp macro="" textlink="">
          <xdr:nvSpPr>
            <xdr:cNvPr id="9256" name="Check Box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8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29</xdr:row>
          <xdr:rowOff>19050</xdr:rowOff>
        </xdr:from>
        <xdr:to>
          <xdr:col>19</xdr:col>
          <xdr:colOff>638175</xdr:colOff>
          <xdr:row>29</xdr:row>
          <xdr:rowOff>228600</xdr:rowOff>
        </xdr:to>
        <xdr:sp macro="" textlink="">
          <xdr:nvSpPr>
            <xdr:cNvPr id="9257" name="Check Box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8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29</xdr:row>
          <xdr:rowOff>19050</xdr:rowOff>
        </xdr:from>
        <xdr:to>
          <xdr:col>19</xdr:col>
          <xdr:colOff>638175</xdr:colOff>
          <xdr:row>29</xdr:row>
          <xdr:rowOff>228600</xdr:rowOff>
        </xdr:to>
        <xdr:sp macro="" textlink="">
          <xdr:nvSpPr>
            <xdr:cNvPr id="9258" name="Check Box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8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30</xdr:row>
          <xdr:rowOff>0</xdr:rowOff>
        </xdr:from>
        <xdr:to>
          <xdr:col>19</xdr:col>
          <xdr:colOff>638175</xdr:colOff>
          <xdr:row>30</xdr:row>
          <xdr:rowOff>209550</xdr:rowOff>
        </xdr:to>
        <xdr:sp macro="" textlink="">
          <xdr:nvSpPr>
            <xdr:cNvPr id="9259" name="Check Box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8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30</xdr:row>
          <xdr:rowOff>0</xdr:rowOff>
        </xdr:from>
        <xdr:to>
          <xdr:col>19</xdr:col>
          <xdr:colOff>638175</xdr:colOff>
          <xdr:row>30</xdr:row>
          <xdr:rowOff>209550</xdr:rowOff>
        </xdr:to>
        <xdr:sp macro="" textlink="">
          <xdr:nvSpPr>
            <xdr:cNvPr id="9260" name="Check Box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8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30</xdr:row>
          <xdr:rowOff>0</xdr:rowOff>
        </xdr:from>
        <xdr:to>
          <xdr:col>19</xdr:col>
          <xdr:colOff>638175</xdr:colOff>
          <xdr:row>30</xdr:row>
          <xdr:rowOff>209550</xdr:rowOff>
        </xdr:to>
        <xdr:sp macro="" textlink="">
          <xdr:nvSpPr>
            <xdr:cNvPr id="9261" name="Check Box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8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209550</xdr:colOff>
          <xdr:row>30</xdr:row>
          <xdr:rowOff>0</xdr:rowOff>
        </xdr:from>
        <xdr:to>
          <xdr:col>19</xdr:col>
          <xdr:colOff>638175</xdr:colOff>
          <xdr:row>30</xdr:row>
          <xdr:rowOff>209550</xdr:rowOff>
        </xdr:to>
        <xdr:sp macro="" textlink="">
          <xdr:nvSpPr>
            <xdr:cNvPr id="9262" name="Check Box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8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16</xdr:row>
          <xdr:rowOff>19050</xdr:rowOff>
        </xdr:from>
        <xdr:to>
          <xdr:col>21</xdr:col>
          <xdr:colOff>638175</xdr:colOff>
          <xdr:row>16</xdr:row>
          <xdr:rowOff>228600</xdr:rowOff>
        </xdr:to>
        <xdr:sp macro="" textlink="">
          <xdr:nvSpPr>
            <xdr:cNvPr id="9267" name="Check Box 51" hidden="1">
              <a:extLst>
                <a:ext uri="{63B3BB69-23CF-44E3-9099-C40C66FF867C}">
                  <a14:compatExt spid="_x0000_s9267"/>
                </a:ext>
                <a:ext uri="{FF2B5EF4-FFF2-40B4-BE49-F238E27FC236}">
                  <a16:creationId xmlns:a16="http://schemas.microsoft.com/office/drawing/2014/main" id="{00000000-0008-0000-0800-00003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16</xdr:row>
          <xdr:rowOff>19050</xdr:rowOff>
        </xdr:from>
        <xdr:to>
          <xdr:col>21</xdr:col>
          <xdr:colOff>638175</xdr:colOff>
          <xdr:row>16</xdr:row>
          <xdr:rowOff>228600</xdr:rowOff>
        </xdr:to>
        <xdr:sp macro="" textlink="">
          <xdr:nvSpPr>
            <xdr:cNvPr id="9268" name="Check Box 52" hidden="1">
              <a:extLst>
                <a:ext uri="{63B3BB69-23CF-44E3-9099-C40C66FF867C}">
                  <a14:compatExt spid="_x0000_s9268"/>
                </a:ext>
                <a:ext uri="{FF2B5EF4-FFF2-40B4-BE49-F238E27FC236}">
                  <a16:creationId xmlns:a16="http://schemas.microsoft.com/office/drawing/2014/main" id="{00000000-0008-0000-0800-00003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17</xdr:row>
          <xdr:rowOff>19050</xdr:rowOff>
        </xdr:from>
        <xdr:to>
          <xdr:col>21</xdr:col>
          <xdr:colOff>638175</xdr:colOff>
          <xdr:row>17</xdr:row>
          <xdr:rowOff>228600</xdr:rowOff>
        </xdr:to>
        <xdr:sp macro="" textlink="">
          <xdr:nvSpPr>
            <xdr:cNvPr id="9269" name="Check Box 53" hidden="1">
              <a:extLst>
                <a:ext uri="{63B3BB69-23CF-44E3-9099-C40C66FF867C}">
                  <a14:compatExt spid="_x0000_s9269"/>
                </a:ext>
                <a:ext uri="{FF2B5EF4-FFF2-40B4-BE49-F238E27FC236}">
                  <a16:creationId xmlns:a16="http://schemas.microsoft.com/office/drawing/2014/main" id="{00000000-0008-0000-0800-00003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209550</xdr:colOff>
          <xdr:row>17</xdr:row>
          <xdr:rowOff>19050</xdr:rowOff>
        </xdr:from>
        <xdr:to>
          <xdr:col>21</xdr:col>
          <xdr:colOff>638175</xdr:colOff>
          <xdr:row>17</xdr:row>
          <xdr:rowOff>228600</xdr:rowOff>
        </xdr:to>
        <xdr:sp macro="" textlink="">
          <xdr:nvSpPr>
            <xdr:cNvPr id="9270" name="Check Box 54" hidden="1">
              <a:extLst>
                <a:ext uri="{63B3BB69-23CF-44E3-9099-C40C66FF867C}">
                  <a14:compatExt spid="_x0000_s9270"/>
                </a:ext>
                <a:ext uri="{FF2B5EF4-FFF2-40B4-BE49-F238E27FC236}">
                  <a16:creationId xmlns:a16="http://schemas.microsoft.com/office/drawing/2014/main" id="{00000000-0008-0000-0800-00003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3.xml"/><Relationship Id="rId18" Type="http://schemas.openxmlformats.org/officeDocument/2006/relationships/ctrlProp" Target="../ctrlProps/ctrlProp28.xml"/><Relationship Id="rId26" Type="http://schemas.openxmlformats.org/officeDocument/2006/relationships/ctrlProp" Target="../ctrlProps/ctrlProp36.xml"/><Relationship Id="rId39" Type="http://schemas.openxmlformats.org/officeDocument/2006/relationships/ctrlProp" Target="../ctrlProps/ctrlProp49.xml"/><Relationship Id="rId21" Type="http://schemas.openxmlformats.org/officeDocument/2006/relationships/ctrlProp" Target="../ctrlProps/ctrlProp31.xml"/><Relationship Id="rId34" Type="http://schemas.openxmlformats.org/officeDocument/2006/relationships/ctrlProp" Target="../ctrlProps/ctrlProp44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7" Type="http://schemas.openxmlformats.org/officeDocument/2006/relationships/ctrlProp" Target="../ctrlProps/ctrlProp27.xml"/><Relationship Id="rId25" Type="http://schemas.openxmlformats.org/officeDocument/2006/relationships/ctrlProp" Target="../ctrlProps/ctrlProp35.xml"/><Relationship Id="rId33" Type="http://schemas.openxmlformats.org/officeDocument/2006/relationships/ctrlProp" Target="../ctrlProps/ctrlProp43.xml"/><Relationship Id="rId38" Type="http://schemas.openxmlformats.org/officeDocument/2006/relationships/ctrlProp" Target="../ctrlProps/ctrlProp48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6.xml"/><Relationship Id="rId20" Type="http://schemas.openxmlformats.org/officeDocument/2006/relationships/ctrlProp" Target="../ctrlProps/ctrlProp30.xml"/><Relationship Id="rId29" Type="http://schemas.openxmlformats.org/officeDocument/2006/relationships/ctrlProp" Target="../ctrlProps/ctrlProp39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24" Type="http://schemas.openxmlformats.org/officeDocument/2006/relationships/ctrlProp" Target="../ctrlProps/ctrlProp34.xml"/><Relationship Id="rId32" Type="http://schemas.openxmlformats.org/officeDocument/2006/relationships/ctrlProp" Target="../ctrlProps/ctrlProp42.xml"/><Relationship Id="rId37" Type="http://schemas.openxmlformats.org/officeDocument/2006/relationships/ctrlProp" Target="../ctrlProps/ctrlProp47.xml"/><Relationship Id="rId40" Type="http://schemas.openxmlformats.org/officeDocument/2006/relationships/ctrlProp" Target="../ctrlProps/ctrlProp50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23" Type="http://schemas.openxmlformats.org/officeDocument/2006/relationships/ctrlProp" Target="../ctrlProps/ctrlProp33.xml"/><Relationship Id="rId28" Type="http://schemas.openxmlformats.org/officeDocument/2006/relationships/ctrlProp" Target="../ctrlProps/ctrlProp38.xml"/><Relationship Id="rId36" Type="http://schemas.openxmlformats.org/officeDocument/2006/relationships/ctrlProp" Target="../ctrlProps/ctrlProp46.xml"/><Relationship Id="rId10" Type="http://schemas.openxmlformats.org/officeDocument/2006/relationships/ctrlProp" Target="../ctrlProps/ctrlProp20.xml"/><Relationship Id="rId19" Type="http://schemas.openxmlformats.org/officeDocument/2006/relationships/ctrlProp" Target="../ctrlProps/ctrlProp29.xml"/><Relationship Id="rId31" Type="http://schemas.openxmlformats.org/officeDocument/2006/relationships/ctrlProp" Target="../ctrlProps/ctrlProp41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22" Type="http://schemas.openxmlformats.org/officeDocument/2006/relationships/ctrlProp" Target="../ctrlProps/ctrlProp32.xml"/><Relationship Id="rId27" Type="http://schemas.openxmlformats.org/officeDocument/2006/relationships/ctrlProp" Target="../ctrlProps/ctrlProp37.xml"/><Relationship Id="rId30" Type="http://schemas.openxmlformats.org/officeDocument/2006/relationships/ctrlProp" Target="../ctrlProps/ctrlProp40.xml"/><Relationship Id="rId35" Type="http://schemas.openxmlformats.org/officeDocument/2006/relationships/ctrlProp" Target="../ctrlProps/ctrlProp45.xml"/><Relationship Id="rId8" Type="http://schemas.openxmlformats.org/officeDocument/2006/relationships/ctrlProp" Target="../ctrlProps/ctrlProp18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5.xml"/><Relationship Id="rId13" Type="http://schemas.openxmlformats.org/officeDocument/2006/relationships/ctrlProp" Target="../ctrlProps/ctrlProp60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54.xml"/><Relationship Id="rId12" Type="http://schemas.openxmlformats.org/officeDocument/2006/relationships/ctrlProp" Target="../ctrlProps/ctrlProp5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6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53.xml"/><Relationship Id="rId11" Type="http://schemas.openxmlformats.org/officeDocument/2006/relationships/ctrlProp" Target="../ctrlProps/ctrlProp58.xml"/><Relationship Id="rId5" Type="http://schemas.openxmlformats.org/officeDocument/2006/relationships/ctrlProp" Target="../ctrlProps/ctrlProp52.xml"/><Relationship Id="rId15" Type="http://schemas.openxmlformats.org/officeDocument/2006/relationships/ctrlProp" Target="../ctrlProps/ctrlProp62.xml"/><Relationship Id="rId10" Type="http://schemas.openxmlformats.org/officeDocument/2006/relationships/ctrlProp" Target="../ctrlProps/ctrlProp57.xml"/><Relationship Id="rId4" Type="http://schemas.openxmlformats.org/officeDocument/2006/relationships/ctrlProp" Target="../ctrlProps/ctrlProp51.xml"/><Relationship Id="rId9" Type="http://schemas.openxmlformats.org/officeDocument/2006/relationships/ctrlProp" Target="../ctrlProps/ctrlProp56.xml"/><Relationship Id="rId14" Type="http://schemas.openxmlformats.org/officeDocument/2006/relationships/ctrlProp" Target="../ctrlProps/ctrlProp6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8.xml"/><Relationship Id="rId13" Type="http://schemas.openxmlformats.org/officeDocument/2006/relationships/ctrlProp" Target="../ctrlProps/ctrlProp73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67.xml"/><Relationship Id="rId12" Type="http://schemas.openxmlformats.org/officeDocument/2006/relationships/ctrlProp" Target="../ctrlProps/ctrlProp7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66.xml"/><Relationship Id="rId11" Type="http://schemas.openxmlformats.org/officeDocument/2006/relationships/ctrlProp" Target="../ctrlProps/ctrlProp71.xml"/><Relationship Id="rId5" Type="http://schemas.openxmlformats.org/officeDocument/2006/relationships/ctrlProp" Target="../ctrlProps/ctrlProp65.xml"/><Relationship Id="rId15" Type="http://schemas.openxmlformats.org/officeDocument/2006/relationships/ctrlProp" Target="../ctrlProps/ctrlProp75.xml"/><Relationship Id="rId10" Type="http://schemas.openxmlformats.org/officeDocument/2006/relationships/ctrlProp" Target="../ctrlProps/ctrlProp70.xml"/><Relationship Id="rId4" Type="http://schemas.openxmlformats.org/officeDocument/2006/relationships/ctrlProp" Target="../ctrlProps/ctrlProp64.xml"/><Relationship Id="rId9" Type="http://schemas.openxmlformats.org/officeDocument/2006/relationships/ctrlProp" Target="../ctrlProps/ctrlProp69.xml"/><Relationship Id="rId14" Type="http://schemas.openxmlformats.org/officeDocument/2006/relationships/ctrlProp" Target="../ctrlProps/ctrlProp74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5.xml"/><Relationship Id="rId18" Type="http://schemas.openxmlformats.org/officeDocument/2006/relationships/ctrlProp" Target="../ctrlProps/ctrlProp90.xml"/><Relationship Id="rId26" Type="http://schemas.openxmlformats.org/officeDocument/2006/relationships/ctrlProp" Target="../ctrlProps/ctrlProp98.xml"/><Relationship Id="rId39" Type="http://schemas.openxmlformats.org/officeDocument/2006/relationships/ctrlProp" Target="../ctrlProps/ctrlProp111.xml"/><Relationship Id="rId21" Type="http://schemas.openxmlformats.org/officeDocument/2006/relationships/ctrlProp" Target="../ctrlProps/ctrlProp93.xml"/><Relationship Id="rId34" Type="http://schemas.openxmlformats.org/officeDocument/2006/relationships/ctrlProp" Target="../ctrlProps/ctrlProp106.xml"/><Relationship Id="rId42" Type="http://schemas.openxmlformats.org/officeDocument/2006/relationships/ctrlProp" Target="../ctrlProps/ctrlProp114.xml"/><Relationship Id="rId7" Type="http://schemas.openxmlformats.org/officeDocument/2006/relationships/ctrlProp" Target="../ctrlProps/ctrlProp79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88.xml"/><Relationship Id="rId20" Type="http://schemas.openxmlformats.org/officeDocument/2006/relationships/ctrlProp" Target="../ctrlProps/ctrlProp92.xml"/><Relationship Id="rId29" Type="http://schemas.openxmlformats.org/officeDocument/2006/relationships/ctrlProp" Target="../ctrlProps/ctrlProp101.xml"/><Relationship Id="rId41" Type="http://schemas.openxmlformats.org/officeDocument/2006/relationships/ctrlProp" Target="../ctrlProps/ctrlProp113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78.xml"/><Relationship Id="rId11" Type="http://schemas.openxmlformats.org/officeDocument/2006/relationships/ctrlProp" Target="../ctrlProps/ctrlProp83.xml"/><Relationship Id="rId24" Type="http://schemas.openxmlformats.org/officeDocument/2006/relationships/ctrlProp" Target="../ctrlProps/ctrlProp96.xml"/><Relationship Id="rId32" Type="http://schemas.openxmlformats.org/officeDocument/2006/relationships/ctrlProp" Target="../ctrlProps/ctrlProp104.xml"/><Relationship Id="rId37" Type="http://schemas.openxmlformats.org/officeDocument/2006/relationships/ctrlProp" Target="../ctrlProps/ctrlProp109.xml"/><Relationship Id="rId40" Type="http://schemas.openxmlformats.org/officeDocument/2006/relationships/ctrlProp" Target="../ctrlProps/ctrlProp112.xml"/><Relationship Id="rId5" Type="http://schemas.openxmlformats.org/officeDocument/2006/relationships/ctrlProp" Target="../ctrlProps/ctrlProp77.xml"/><Relationship Id="rId15" Type="http://schemas.openxmlformats.org/officeDocument/2006/relationships/ctrlProp" Target="../ctrlProps/ctrlProp87.xml"/><Relationship Id="rId23" Type="http://schemas.openxmlformats.org/officeDocument/2006/relationships/ctrlProp" Target="../ctrlProps/ctrlProp95.xml"/><Relationship Id="rId28" Type="http://schemas.openxmlformats.org/officeDocument/2006/relationships/ctrlProp" Target="../ctrlProps/ctrlProp100.xml"/><Relationship Id="rId36" Type="http://schemas.openxmlformats.org/officeDocument/2006/relationships/ctrlProp" Target="../ctrlProps/ctrlProp108.xml"/><Relationship Id="rId10" Type="http://schemas.openxmlformats.org/officeDocument/2006/relationships/ctrlProp" Target="../ctrlProps/ctrlProp82.xml"/><Relationship Id="rId19" Type="http://schemas.openxmlformats.org/officeDocument/2006/relationships/ctrlProp" Target="../ctrlProps/ctrlProp91.xml"/><Relationship Id="rId31" Type="http://schemas.openxmlformats.org/officeDocument/2006/relationships/ctrlProp" Target="../ctrlProps/ctrlProp103.xml"/><Relationship Id="rId4" Type="http://schemas.openxmlformats.org/officeDocument/2006/relationships/ctrlProp" Target="../ctrlProps/ctrlProp76.xml"/><Relationship Id="rId9" Type="http://schemas.openxmlformats.org/officeDocument/2006/relationships/ctrlProp" Target="../ctrlProps/ctrlProp81.xml"/><Relationship Id="rId14" Type="http://schemas.openxmlformats.org/officeDocument/2006/relationships/ctrlProp" Target="../ctrlProps/ctrlProp86.xml"/><Relationship Id="rId22" Type="http://schemas.openxmlformats.org/officeDocument/2006/relationships/ctrlProp" Target="../ctrlProps/ctrlProp94.xml"/><Relationship Id="rId27" Type="http://schemas.openxmlformats.org/officeDocument/2006/relationships/ctrlProp" Target="../ctrlProps/ctrlProp99.xml"/><Relationship Id="rId30" Type="http://schemas.openxmlformats.org/officeDocument/2006/relationships/ctrlProp" Target="../ctrlProps/ctrlProp102.xml"/><Relationship Id="rId35" Type="http://schemas.openxmlformats.org/officeDocument/2006/relationships/ctrlProp" Target="../ctrlProps/ctrlProp107.xml"/><Relationship Id="rId43" Type="http://schemas.openxmlformats.org/officeDocument/2006/relationships/ctrlProp" Target="../ctrlProps/ctrlProp115.xml"/><Relationship Id="rId8" Type="http://schemas.openxmlformats.org/officeDocument/2006/relationships/ctrlProp" Target="../ctrlProps/ctrlProp80.xml"/><Relationship Id="rId3" Type="http://schemas.openxmlformats.org/officeDocument/2006/relationships/vmlDrawing" Target="../drawings/vmlDrawing5.vml"/><Relationship Id="rId12" Type="http://schemas.openxmlformats.org/officeDocument/2006/relationships/ctrlProp" Target="../ctrlProps/ctrlProp84.xml"/><Relationship Id="rId17" Type="http://schemas.openxmlformats.org/officeDocument/2006/relationships/ctrlProp" Target="../ctrlProps/ctrlProp89.xml"/><Relationship Id="rId25" Type="http://schemas.openxmlformats.org/officeDocument/2006/relationships/ctrlProp" Target="../ctrlProps/ctrlProp97.xml"/><Relationship Id="rId33" Type="http://schemas.openxmlformats.org/officeDocument/2006/relationships/ctrlProp" Target="../ctrlProps/ctrlProp105.xml"/><Relationship Id="rId38" Type="http://schemas.openxmlformats.org/officeDocument/2006/relationships/ctrlProp" Target="../ctrlProps/ctrlProp110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5.xml"/><Relationship Id="rId18" Type="http://schemas.openxmlformats.org/officeDocument/2006/relationships/ctrlProp" Target="../ctrlProps/ctrlProp130.xml"/><Relationship Id="rId26" Type="http://schemas.openxmlformats.org/officeDocument/2006/relationships/ctrlProp" Target="../ctrlProps/ctrlProp138.xml"/><Relationship Id="rId21" Type="http://schemas.openxmlformats.org/officeDocument/2006/relationships/ctrlProp" Target="../ctrlProps/ctrlProp133.xml"/><Relationship Id="rId34" Type="http://schemas.openxmlformats.org/officeDocument/2006/relationships/ctrlProp" Target="../ctrlProps/ctrlProp146.xml"/><Relationship Id="rId7" Type="http://schemas.openxmlformats.org/officeDocument/2006/relationships/ctrlProp" Target="../ctrlProps/ctrlProp119.xml"/><Relationship Id="rId12" Type="http://schemas.openxmlformats.org/officeDocument/2006/relationships/ctrlProp" Target="../ctrlProps/ctrlProp124.xml"/><Relationship Id="rId17" Type="http://schemas.openxmlformats.org/officeDocument/2006/relationships/ctrlProp" Target="../ctrlProps/ctrlProp129.xml"/><Relationship Id="rId25" Type="http://schemas.openxmlformats.org/officeDocument/2006/relationships/ctrlProp" Target="../ctrlProps/ctrlProp137.xml"/><Relationship Id="rId33" Type="http://schemas.openxmlformats.org/officeDocument/2006/relationships/ctrlProp" Target="../ctrlProps/ctrlProp145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128.xml"/><Relationship Id="rId20" Type="http://schemas.openxmlformats.org/officeDocument/2006/relationships/ctrlProp" Target="../ctrlProps/ctrlProp132.xml"/><Relationship Id="rId29" Type="http://schemas.openxmlformats.org/officeDocument/2006/relationships/ctrlProp" Target="../ctrlProps/ctrlProp141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18.xml"/><Relationship Id="rId11" Type="http://schemas.openxmlformats.org/officeDocument/2006/relationships/ctrlProp" Target="../ctrlProps/ctrlProp123.xml"/><Relationship Id="rId24" Type="http://schemas.openxmlformats.org/officeDocument/2006/relationships/ctrlProp" Target="../ctrlProps/ctrlProp136.xml"/><Relationship Id="rId32" Type="http://schemas.openxmlformats.org/officeDocument/2006/relationships/ctrlProp" Target="../ctrlProps/ctrlProp144.xml"/><Relationship Id="rId37" Type="http://schemas.openxmlformats.org/officeDocument/2006/relationships/ctrlProp" Target="../ctrlProps/ctrlProp149.xml"/><Relationship Id="rId5" Type="http://schemas.openxmlformats.org/officeDocument/2006/relationships/ctrlProp" Target="../ctrlProps/ctrlProp117.xml"/><Relationship Id="rId15" Type="http://schemas.openxmlformats.org/officeDocument/2006/relationships/ctrlProp" Target="../ctrlProps/ctrlProp127.xml"/><Relationship Id="rId23" Type="http://schemas.openxmlformats.org/officeDocument/2006/relationships/ctrlProp" Target="../ctrlProps/ctrlProp135.xml"/><Relationship Id="rId28" Type="http://schemas.openxmlformats.org/officeDocument/2006/relationships/ctrlProp" Target="../ctrlProps/ctrlProp140.xml"/><Relationship Id="rId36" Type="http://schemas.openxmlformats.org/officeDocument/2006/relationships/ctrlProp" Target="../ctrlProps/ctrlProp148.xml"/><Relationship Id="rId10" Type="http://schemas.openxmlformats.org/officeDocument/2006/relationships/ctrlProp" Target="../ctrlProps/ctrlProp122.xml"/><Relationship Id="rId19" Type="http://schemas.openxmlformats.org/officeDocument/2006/relationships/ctrlProp" Target="../ctrlProps/ctrlProp131.xml"/><Relationship Id="rId31" Type="http://schemas.openxmlformats.org/officeDocument/2006/relationships/ctrlProp" Target="../ctrlProps/ctrlProp143.xml"/><Relationship Id="rId4" Type="http://schemas.openxmlformats.org/officeDocument/2006/relationships/ctrlProp" Target="../ctrlProps/ctrlProp116.xml"/><Relationship Id="rId9" Type="http://schemas.openxmlformats.org/officeDocument/2006/relationships/ctrlProp" Target="../ctrlProps/ctrlProp121.xml"/><Relationship Id="rId14" Type="http://schemas.openxmlformats.org/officeDocument/2006/relationships/ctrlProp" Target="../ctrlProps/ctrlProp126.xml"/><Relationship Id="rId22" Type="http://schemas.openxmlformats.org/officeDocument/2006/relationships/ctrlProp" Target="../ctrlProps/ctrlProp134.xml"/><Relationship Id="rId27" Type="http://schemas.openxmlformats.org/officeDocument/2006/relationships/ctrlProp" Target="../ctrlProps/ctrlProp139.xml"/><Relationship Id="rId30" Type="http://schemas.openxmlformats.org/officeDocument/2006/relationships/ctrlProp" Target="../ctrlProps/ctrlProp142.xml"/><Relationship Id="rId35" Type="http://schemas.openxmlformats.org/officeDocument/2006/relationships/ctrlProp" Target="../ctrlProps/ctrlProp147.xml"/><Relationship Id="rId8" Type="http://schemas.openxmlformats.org/officeDocument/2006/relationships/ctrlProp" Target="../ctrlProps/ctrlProp120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4.xml"/><Relationship Id="rId13" Type="http://schemas.openxmlformats.org/officeDocument/2006/relationships/ctrlProp" Target="../ctrlProps/ctrlProp159.xml"/><Relationship Id="rId18" Type="http://schemas.openxmlformats.org/officeDocument/2006/relationships/ctrlProp" Target="../ctrlProps/ctrlProp164.xml"/><Relationship Id="rId26" Type="http://schemas.openxmlformats.org/officeDocument/2006/relationships/ctrlProp" Target="../ctrlProps/ctrlProp172.xml"/><Relationship Id="rId3" Type="http://schemas.openxmlformats.org/officeDocument/2006/relationships/vmlDrawing" Target="../drawings/vmlDrawing7.vml"/><Relationship Id="rId21" Type="http://schemas.openxmlformats.org/officeDocument/2006/relationships/ctrlProp" Target="../ctrlProps/ctrlProp167.xml"/><Relationship Id="rId7" Type="http://schemas.openxmlformats.org/officeDocument/2006/relationships/ctrlProp" Target="../ctrlProps/ctrlProp153.xml"/><Relationship Id="rId12" Type="http://schemas.openxmlformats.org/officeDocument/2006/relationships/ctrlProp" Target="../ctrlProps/ctrlProp158.xml"/><Relationship Id="rId17" Type="http://schemas.openxmlformats.org/officeDocument/2006/relationships/ctrlProp" Target="../ctrlProps/ctrlProp163.xml"/><Relationship Id="rId25" Type="http://schemas.openxmlformats.org/officeDocument/2006/relationships/ctrlProp" Target="../ctrlProps/ctrlProp171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162.xml"/><Relationship Id="rId20" Type="http://schemas.openxmlformats.org/officeDocument/2006/relationships/ctrlProp" Target="../ctrlProps/ctrlProp166.xml"/><Relationship Id="rId29" Type="http://schemas.openxmlformats.org/officeDocument/2006/relationships/ctrlProp" Target="../ctrlProps/ctrlProp175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52.xml"/><Relationship Id="rId11" Type="http://schemas.openxmlformats.org/officeDocument/2006/relationships/ctrlProp" Target="../ctrlProps/ctrlProp157.xml"/><Relationship Id="rId24" Type="http://schemas.openxmlformats.org/officeDocument/2006/relationships/ctrlProp" Target="../ctrlProps/ctrlProp170.xml"/><Relationship Id="rId5" Type="http://schemas.openxmlformats.org/officeDocument/2006/relationships/ctrlProp" Target="../ctrlProps/ctrlProp151.xml"/><Relationship Id="rId15" Type="http://schemas.openxmlformats.org/officeDocument/2006/relationships/ctrlProp" Target="../ctrlProps/ctrlProp161.xml"/><Relationship Id="rId23" Type="http://schemas.openxmlformats.org/officeDocument/2006/relationships/ctrlProp" Target="../ctrlProps/ctrlProp169.xml"/><Relationship Id="rId28" Type="http://schemas.openxmlformats.org/officeDocument/2006/relationships/ctrlProp" Target="../ctrlProps/ctrlProp174.xml"/><Relationship Id="rId10" Type="http://schemas.openxmlformats.org/officeDocument/2006/relationships/ctrlProp" Target="../ctrlProps/ctrlProp156.xml"/><Relationship Id="rId19" Type="http://schemas.openxmlformats.org/officeDocument/2006/relationships/ctrlProp" Target="../ctrlProps/ctrlProp165.xml"/><Relationship Id="rId31" Type="http://schemas.openxmlformats.org/officeDocument/2006/relationships/ctrlProp" Target="../ctrlProps/ctrlProp177.xml"/><Relationship Id="rId4" Type="http://schemas.openxmlformats.org/officeDocument/2006/relationships/ctrlProp" Target="../ctrlProps/ctrlProp150.xml"/><Relationship Id="rId9" Type="http://schemas.openxmlformats.org/officeDocument/2006/relationships/ctrlProp" Target="../ctrlProps/ctrlProp155.xml"/><Relationship Id="rId14" Type="http://schemas.openxmlformats.org/officeDocument/2006/relationships/ctrlProp" Target="../ctrlProps/ctrlProp160.xml"/><Relationship Id="rId22" Type="http://schemas.openxmlformats.org/officeDocument/2006/relationships/ctrlProp" Target="../ctrlProps/ctrlProp168.xml"/><Relationship Id="rId27" Type="http://schemas.openxmlformats.org/officeDocument/2006/relationships/ctrlProp" Target="../ctrlProps/ctrlProp173.xml"/><Relationship Id="rId30" Type="http://schemas.openxmlformats.org/officeDocument/2006/relationships/ctrlProp" Target="../ctrlProps/ctrlProp176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87.xml"/><Relationship Id="rId18" Type="http://schemas.openxmlformats.org/officeDocument/2006/relationships/ctrlProp" Target="../ctrlProps/ctrlProp192.xml"/><Relationship Id="rId26" Type="http://schemas.openxmlformats.org/officeDocument/2006/relationships/ctrlProp" Target="../ctrlProps/ctrlProp200.xml"/><Relationship Id="rId39" Type="http://schemas.openxmlformats.org/officeDocument/2006/relationships/ctrlProp" Target="../ctrlProps/ctrlProp213.xml"/><Relationship Id="rId21" Type="http://schemas.openxmlformats.org/officeDocument/2006/relationships/ctrlProp" Target="../ctrlProps/ctrlProp195.xml"/><Relationship Id="rId34" Type="http://schemas.openxmlformats.org/officeDocument/2006/relationships/ctrlProp" Target="../ctrlProps/ctrlProp208.xml"/><Relationship Id="rId7" Type="http://schemas.openxmlformats.org/officeDocument/2006/relationships/ctrlProp" Target="../ctrlProps/ctrlProp181.xml"/><Relationship Id="rId12" Type="http://schemas.openxmlformats.org/officeDocument/2006/relationships/ctrlProp" Target="../ctrlProps/ctrlProp186.xml"/><Relationship Id="rId17" Type="http://schemas.openxmlformats.org/officeDocument/2006/relationships/ctrlProp" Target="../ctrlProps/ctrlProp191.xml"/><Relationship Id="rId25" Type="http://schemas.openxmlformats.org/officeDocument/2006/relationships/ctrlProp" Target="../ctrlProps/ctrlProp199.xml"/><Relationship Id="rId33" Type="http://schemas.openxmlformats.org/officeDocument/2006/relationships/ctrlProp" Target="../ctrlProps/ctrlProp207.xml"/><Relationship Id="rId38" Type="http://schemas.openxmlformats.org/officeDocument/2006/relationships/ctrlProp" Target="../ctrlProps/ctrlProp212.xml"/><Relationship Id="rId2" Type="http://schemas.openxmlformats.org/officeDocument/2006/relationships/drawing" Target="../drawings/drawing8.xml"/><Relationship Id="rId16" Type="http://schemas.openxmlformats.org/officeDocument/2006/relationships/ctrlProp" Target="../ctrlProps/ctrlProp190.xml"/><Relationship Id="rId20" Type="http://schemas.openxmlformats.org/officeDocument/2006/relationships/ctrlProp" Target="../ctrlProps/ctrlProp194.xml"/><Relationship Id="rId29" Type="http://schemas.openxmlformats.org/officeDocument/2006/relationships/ctrlProp" Target="../ctrlProps/ctrlProp203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180.xml"/><Relationship Id="rId11" Type="http://schemas.openxmlformats.org/officeDocument/2006/relationships/ctrlProp" Target="../ctrlProps/ctrlProp185.xml"/><Relationship Id="rId24" Type="http://schemas.openxmlformats.org/officeDocument/2006/relationships/ctrlProp" Target="../ctrlProps/ctrlProp198.xml"/><Relationship Id="rId32" Type="http://schemas.openxmlformats.org/officeDocument/2006/relationships/ctrlProp" Target="../ctrlProps/ctrlProp206.xml"/><Relationship Id="rId37" Type="http://schemas.openxmlformats.org/officeDocument/2006/relationships/ctrlProp" Target="../ctrlProps/ctrlProp211.xml"/><Relationship Id="rId5" Type="http://schemas.openxmlformats.org/officeDocument/2006/relationships/ctrlProp" Target="../ctrlProps/ctrlProp179.xml"/><Relationship Id="rId15" Type="http://schemas.openxmlformats.org/officeDocument/2006/relationships/ctrlProp" Target="../ctrlProps/ctrlProp189.xml"/><Relationship Id="rId23" Type="http://schemas.openxmlformats.org/officeDocument/2006/relationships/ctrlProp" Target="../ctrlProps/ctrlProp197.xml"/><Relationship Id="rId28" Type="http://schemas.openxmlformats.org/officeDocument/2006/relationships/ctrlProp" Target="../ctrlProps/ctrlProp202.xml"/><Relationship Id="rId36" Type="http://schemas.openxmlformats.org/officeDocument/2006/relationships/ctrlProp" Target="../ctrlProps/ctrlProp210.xml"/><Relationship Id="rId10" Type="http://schemas.openxmlformats.org/officeDocument/2006/relationships/ctrlProp" Target="../ctrlProps/ctrlProp184.xml"/><Relationship Id="rId19" Type="http://schemas.openxmlformats.org/officeDocument/2006/relationships/ctrlProp" Target="../ctrlProps/ctrlProp193.xml"/><Relationship Id="rId31" Type="http://schemas.openxmlformats.org/officeDocument/2006/relationships/ctrlProp" Target="../ctrlProps/ctrlProp205.xml"/><Relationship Id="rId4" Type="http://schemas.openxmlformats.org/officeDocument/2006/relationships/ctrlProp" Target="../ctrlProps/ctrlProp178.xml"/><Relationship Id="rId9" Type="http://schemas.openxmlformats.org/officeDocument/2006/relationships/ctrlProp" Target="../ctrlProps/ctrlProp183.xml"/><Relationship Id="rId14" Type="http://schemas.openxmlformats.org/officeDocument/2006/relationships/ctrlProp" Target="../ctrlProps/ctrlProp188.xml"/><Relationship Id="rId22" Type="http://schemas.openxmlformats.org/officeDocument/2006/relationships/ctrlProp" Target="../ctrlProps/ctrlProp196.xml"/><Relationship Id="rId27" Type="http://schemas.openxmlformats.org/officeDocument/2006/relationships/ctrlProp" Target="../ctrlProps/ctrlProp201.xml"/><Relationship Id="rId30" Type="http://schemas.openxmlformats.org/officeDocument/2006/relationships/ctrlProp" Target="../ctrlProps/ctrlProp204.xml"/><Relationship Id="rId35" Type="http://schemas.openxmlformats.org/officeDocument/2006/relationships/ctrlProp" Target="../ctrlProps/ctrlProp209.xml"/><Relationship Id="rId8" Type="http://schemas.openxmlformats.org/officeDocument/2006/relationships/ctrlProp" Target="../ctrlProps/ctrlProp182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23.xml"/><Relationship Id="rId18" Type="http://schemas.openxmlformats.org/officeDocument/2006/relationships/ctrlProp" Target="../ctrlProps/ctrlProp228.xml"/><Relationship Id="rId26" Type="http://schemas.openxmlformats.org/officeDocument/2006/relationships/ctrlProp" Target="../ctrlProps/ctrlProp236.xml"/><Relationship Id="rId39" Type="http://schemas.openxmlformats.org/officeDocument/2006/relationships/ctrlProp" Target="../ctrlProps/ctrlProp249.xml"/><Relationship Id="rId21" Type="http://schemas.openxmlformats.org/officeDocument/2006/relationships/ctrlProp" Target="../ctrlProps/ctrlProp231.xml"/><Relationship Id="rId34" Type="http://schemas.openxmlformats.org/officeDocument/2006/relationships/ctrlProp" Target="../ctrlProps/ctrlProp244.xml"/><Relationship Id="rId42" Type="http://schemas.openxmlformats.org/officeDocument/2006/relationships/ctrlProp" Target="../ctrlProps/ctrlProp252.xml"/><Relationship Id="rId7" Type="http://schemas.openxmlformats.org/officeDocument/2006/relationships/ctrlProp" Target="../ctrlProps/ctrlProp217.xml"/><Relationship Id="rId2" Type="http://schemas.openxmlformats.org/officeDocument/2006/relationships/drawing" Target="../drawings/drawing9.xml"/><Relationship Id="rId16" Type="http://schemas.openxmlformats.org/officeDocument/2006/relationships/ctrlProp" Target="../ctrlProps/ctrlProp226.xml"/><Relationship Id="rId29" Type="http://schemas.openxmlformats.org/officeDocument/2006/relationships/ctrlProp" Target="../ctrlProps/ctrlProp23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216.xml"/><Relationship Id="rId11" Type="http://schemas.openxmlformats.org/officeDocument/2006/relationships/ctrlProp" Target="../ctrlProps/ctrlProp221.xml"/><Relationship Id="rId24" Type="http://schemas.openxmlformats.org/officeDocument/2006/relationships/ctrlProp" Target="../ctrlProps/ctrlProp234.xml"/><Relationship Id="rId32" Type="http://schemas.openxmlformats.org/officeDocument/2006/relationships/ctrlProp" Target="../ctrlProps/ctrlProp242.xml"/><Relationship Id="rId37" Type="http://schemas.openxmlformats.org/officeDocument/2006/relationships/ctrlProp" Target="../ctrlProps/ctrlProp247.xml"/><Relationship Id="rId40" Type="http://schemas.openxmlformats.org/officeDocument/2006/relationships/ctrlProp" Target="../ctrlProps/ctrlProp250.xml"/><Relationship Id="rId45" Type="http://schemas.openxmlformats.org/officeDocument/2006/relationships/ctrlProp" Target="../ctrlProps/ctrlProp255.xml"/><Relationship Id="rId5" Type="http://schemas.openxmlformats.org/officeDocument/2006/relationships/ctrlProp" Target="../ctrlProps/ctrlProp215.xml"/><Relationship Id="rId15" Type="http://schemas.openxmlformats.org/officeDocument/2006/relationships/ctrlProp" Target="../ctrlProps/ctrlProp225.xml"/><Relationship Id="rId23" Type="http://schemas.openxmlformats.org/officeDocument/2006/relationships/ctrlProp" Target="../ctrlProps/ctrlProp233.xml"/><Relationship Id="rId28" Type="http://schemas.openxmlformats.org/officeDocument/2006/relationships/ctrlProp" Target="../ctrlProps/ctrlProp238.xml"/><Relationship Id="rId36" Type="http://schemas.openxmlformats.org/officeDocument/2006/relationships/ctrlProp" Target="../ctrlProps/ctrlProp246.xml"/><Relationship Id="rId10" Type="http://schemas.openxmlformats.org/officeDocument/2006/relationships/ctrlProp" Target="../ctrlProps/ctrlProp220.xml"/><Relationship Id="rId19" Type="http://schemas.openxmlformats.org/officeDocument/2006/relationships/ctrlProp" Target="../ctrlProps/ctrlProp229.xml"/><Relationship Id="rId31" Type="http://schemas.openxmlformats.org/officeDocument/2006/relationships/ctrlProp" Target="../ctrlProps/ctrlProp241.xml"/><Relationship Id="rId44" Type="http://schemas.openxmlformats.org/officeDocument/2006/relationships/ctrlProp" Target="../ctrlProps/ctrlProp254.xml"/><Relationship Id="rId4" Type="http://schemas.openxmlformats.org/officeDocument/2006/relationships/ctrlProp" Target="../ctrlProps/ctrlProp214.xml"/><Relationship Id="rId9" Type="http://schemas.openxmlformats.org/officeDocument/2006/relationships/ctrlProp" Target="../ctrlProps/ctrlProp219.xml"/><Relationship Id="rId14" Type="http://schemas.openxmlformats.org/officeDocument/2006/relationships/ctrlProp" Target="../ctrlProps/ctrlProp224.xml"/><Relationship Id="rId22" Type="http://schemas.openxmlformats.org/officeDocument/2006/relationships/ctrlProp" Target="../ctrlProps/ctrlProp232.xml"/><Relationship Id="rId27" Type="http://schemas.openxmlformats.org/officeDocument/2006/relationships/ctrlProp" Target="../ctrlProps/ctrlProp237.xml"/><Relationship Id="rId30" Type="http://schemas.openxmlformats.org/officeDocument/2006/relationships/ctrlProp" Target="../ctrlProps/ctrlProp240.xml"/><Relationship Id="rId35" Type="http://schemas.openxmlformats.org/officeDocument/2006/relationships/ctrlProp" Target="../ctrlProps/ctrlProp245.xml"/><Relationship Id="rId43" Type="http://schemas.openxmlformats.org/officeDocument/2006/relationships/ctrlProp" Target="../ctrlProps/ctrlProp253.xml"/><Relationship Id="rId8" Type="http://schemas.openxmlformats.org/officeDocument/2006/relationships/ctrlProp" Target="../ctrlProps/ctrlProp218.xml"/><Relationship Id="rId3" Type="http://schemas.openxmlformats.org/officeDocument/2006/relationships/vmlDrawing" Target="../drawings/vmlDrawing9.vml"/><Relationship Id="rId12" Type="http://schemas.openxmlformats.org/officeDocument/2006/relationships/ctrlProp" Target="../ctrlProps/ctrlProp222.xml"/><Relationship Id="rId17" Type="http://schemas.openxmlformats.org/officeDocument/2006/relationships/ctrlProp" Target="../ctrlProps/ctrlProp227.xml"/><Relationship Id="rId25" Type="http://schemas.openxmlformats.org/officeDocument/2006/relationships/ctrlProp" Target="../ctrlProps/ctrlProp235.xml"/><Relationship Id="rId33" Type="http://schemas.openxmlformats.org/officeDocument/2006/relationships/ctrlProp" Target="../ctrlProps/ctrlProp243.xml"/><Relationship Id="rId38" Type="http://schemas.openxmlformats.org/officeDocument/2006/relationships/ctrlProp" Target="../ctrlProps/ctrlProp248.xml"/><Relationship Id="rId20" Type="http://schemas.openxmlformats.org/officeDocument/2006/relationships/ctrlProp" Target="../ctrlProps/ctrlProp230.xml"/><Relationship Id="rId41" Type="http://schemas.openxmlformats.org/officeDocument/2006/relationships/ctrlProp" Target="../ctrlProps/ctrlProp25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7B21-A501-4715-8FB1-9FDE2DFF2896}">
  <sheetPr codeName="Sheet2">
    <tabColor rgb="FFFFC000"/>
    <pageSetUpPr fitToPage="1"/>
  </sheetPr>
  <dimension ref="A1:U26"/>
  <sheetViews>
    <sheetView zoomScale="85" zoomScaleNormal="85" workbookViewId="0">
      <selection activeCell="O25" sqref="O25"/>
    </sheetView>
  </sheetViews>
  <sheetFormatPr defaultColWidth="9" defaultRowHeight="21" x14ac:dyDescent="0.2"/>
  <cols>
    <col min="1" max="1" width="17.375" style="2" bestFit="1" customWidth="1"/>
    <col min="2" max="2" width="6.375" style="2" customWidth="1"/>
    <col min="3" max="3" width="32.75" style="2" bestFit="1" customWidth="1"/>
    <col min="4" max="4" width="14.625" style="2" bestFit="1" customWidth="1"/>
    <col min="5" max="7" width="9.375" style="2" customWidth="1"/>
    <col min="8" max="8" width="10.125" style="2" customWidth="1"/>
    <col min="9" max="12" width="9.375" style="2" hidden="1" customWidth="1"/>
    <col min="13" max="13" width="10.375" style="2" hidden="1" customWidth="1"/>
    <col min="14" max="14" width="9" style="2" bestFit="1" customWidth="1"/>
    <col min="15" max="17" width="9.375" style="2" customWidth="1"/>
    <col min="18" max="18" width="9.625" style="2" customWidth="1"/>
    <col min="19" max="19" width="9.75" style="2" customWidth="1"/>
    <col min="20" max="20" width="9.375" style="2" customWidth="1"/>
    <col min="21" max="21" width="14.625" style="2" bestFit="1" customWidth="1"/>
    <col min="22" max="16384" width="9" style="2"/>
  </cols>
  <sheetData>
    <row r="1" spans="1:21" x14ac:dyDescent="0.2">
      <c r="A1" s="38" t="s">
        <v>0</v>
      </c>
      <c r="B1" s="38"/>
      <c r="C1" s="1" t="s">
        <v>138</v>
      </c>
    </row>
    <row r="2" spans="1:21" x14ac:dyDescent="0.2">
      <c r="A2" s="38" t="s">
        <v>3</v>
      </c>
      <c r="B2" s="38"/>
      <c r="C2" s="3">
        <v>244469</v>
      </c>
    </row>
    <row r="4" spans="1:21" ht="21.75" customHeight="1" x14ac:dyDescent="0.2">
      <c r="A4" s="42" t="s">
        <v>4</v>
      </c>
      <c r="B4" s="39" t="s">
        <v>5</v>
      </c>
      <c r="C4" s="39" t="s">
        <v>6</v>
      </c>
      <c r="D4" s="39" t="s">
        <v>21</v>
      </c>
      <c r="E4" s="39"/>
      <c r="F4" s="39"/>
      <c r="G4" s="39"/>
      <c r="H4" s="39" t="s">
        <v>11</v>
      </c>
      <c r="I4" s="77" t="s">
        <v>14</v>
      </c>
      <c r="J4" s="78"/>
      <c r="K4" s="78"/>
      <c r="L4" s="79"/>
      <c r="M4" s="48" t="s">
        <v>29</v>
      </c>
      <c r="N4" s="39" t="s">
        <v>18</v>
      </c>
      <c r="O4" s="39" t="s">
        <v>19</v>
      </c>
      <c r="P4" s="39"/>
      <c r="Q4" s="39"/>
      <c r="R4" s="39"/>
      <c r="S4" s="39"/>
      <c r="T4" s="48" t="s">
        <v>22</v>
      </c>
      <c r="U4" s="50" t="s">
        <v>23</v>
      </c>
    </row>
    <row r="5" spans="1:21" x14ac:dyDescent="0.2">
      <c r="A5" s="43"/>
      <c r="B5" s="39"/>
      <c r="C5" s="39"/>
      <c r="D5" s="5" t="s">
        <v>7</v>
      </c>
      <c r="E5" s="5" t="s">
        <v>149</v>
      </c>
      <c r="F5" s="5"/>
      <c r="G5" s="5" t="s">
        <v>12</v>
      </c>
      <c r="H5" s="39"/>
      <c r="I5" s="5" t="s">
        <v>15</v>
      </c>
      <c r="J5" s="5" t="s">
        <v>16</v>
      </c>
      <c r="K5" s="5" t="s">
        <v>43</v>
      </c>
      <c r="L5" s="5" t="s">
        <v>17</v>
      </c>
      <c r="M5" s="49"/>
      <c r="N5" s="39"/>
      <c r="O5" s="5" t="s">
        <v>30</v>
      </c>
      <c r="P5" s="5" t="s">
        <v>31</v>
      </c>
      <c r="Q5" s="5" t="s">
        <v>20</v>
      </c>
      <c r="R5" s="5" t="s">
        <v>143</v>
      </c>
      <c r="S5" s="5" t="s">
        <v>159</v>
      </c>
      <c r="T5" s="49"/>
      <c r="U5" s="51"/>
    </row>
    <row r="6" spans="1:21" x14ac:dyDescent="0.2">
      <c r="A6" s="43"/>
      <c r="B6" s="6">
        <v>1</v>
      </c>
      <c r="C6" s="7" t="s">
        <v>139</v>
      </c>
      <c r="D6" s="8">
        <v>35000</v>
      </c>
      <c r="E6" s="8"/>
      <c r="F6" s="8"/>
      <c r="G6" s="8">
        <v>1000</v>
      </c>
      <c r="H6" s="9">
        <f t="shared" ref="H6:H11" si="0">+SUM(D6:G6)</f>
        <v>36000</v>
      </c>
      <c r="I6" s="8"/>
      <c r="J6" s="8"/>
      <c r="K6" s="8"/>
      <c r="L6" s="8"/>
      <c r="M6" s="10">
        <f>+SUM(I6:L6)</f>
        <v>0</v>
      </c>
      <c r="N6" s="11">
        <f>+H6+M6</f>
        <v>36000</v>
      </c>
      <c r="O6" s="8">
        <f>ROUND(IF((H6+I6)&gt;17500, 875, (H6+I6)*5%), 0)</f>
        <v>875</v>
      </c>
      <c r="P6" s="8">
        <v>1200</v>
      </c>
      <c r="Q6" s="8">
        <v>464.58</v>
      </c>
      <c r="R6" s="8"/>
      <c r="S6" s="8"/>
      <c r="T6" s="12">
        <f t="shared" ref="T6:T11" si="1">+SUM(O6:R6)</f>
        <v>2539.58</v>
      </c>
      <c r="U6" s="13">
        <f t="shared" ref="U6:U11" si="2">+N6-T6</f>
        <v>33460.42</v>
      </c>
    </row>
    <row r="7" spans="1:21" x14ac:dyDescent="0.2">
      <c r="A7" s="43"/>
      <c r="B7" s="6">
        <v>2</v>
      </c>
      <c r="C7" s="7" t="s">
        <v>41</v>
      </c>
      <c r="D7" s="8">
        <v>42000</v>
      </c>
      <c r="E7" s="8"/>
      <c r="F7" s="8"/>
      <c r="G7" s="8">
        <v>1300</v>
      </c>
      <c r="H7" s="9">
        <f t="shared" si="0"/>
        <v>43300</v>
      </c>
      <c r="I7" s="8"/>
      <c r="J7" s="8"/>
      <c r="K7" s="8"/>
      <c r="L7" s="8"/>
      <c r="M7" s="10">
        <f t="shared" ref="M7:M11" si="3">+SUM(I7:L7)</f>
        <v>0</v>
      </c>
      <c r="N7" s="11">
        <f>+H7+M7</f>
        <v>43300</v>
      </c>
      <c r="O7" s="8">
        <f t="shared" ref="O7:O11" si="4">ROUND(IF((H7+I7)&gt;17500, 875, (H7+I7)*5%), 0)</f>
        <v>875</v>
      </c>
      <c r="P7" s="8"/>
      <c r="Q7" s="8">
        <v>904.17</v>
      </c>
      <c r="R7" s="8">
        <v>5000</v>
      </c>
      <c r="S7" s="8">
        <v>1400</v>
      </c>
      <c r="T7" s="12">
        <f>+SUM(O7:S7)</f>
        <v>8179.17</v>
      </c>
      <c r="U7" s="13">
        <f>+N7-T7</f>
        <v>35120.83</v>
      </c>
    </row>
    <row r="8" spans="1:21" x14ac:dyDescent="0.2">
      <c r="A8" s="43"/>
      <c r="B8" s="6">
        <v>3</v>
      </c>
      <c r="C8" s="7" t="s">
        <v>57</v>
      </c>
      <c r="D8" s="8">
        <v>36000</v>
      </c>
      <c r="E8" s="8"/>
      <c r="F8" s="8"/>
      <c r="G8" s="8"/>
      <c r="H8" s="9">
        <f t="shared" si="0"/>
        <v>36000</v>
      </c>
      <c r="I8" s="8"/>
      <c r="J8" s="8"/>
      <c r="K8" s="8"/>
      <c r="L8" s="8"/>
      <c r="M8" s="10">
        <f t="shared" si="3"/>
        <v>0</v>
      </c>
      <c r="N8" s="11">
        <f>+H8+M8</f>
        <v>36000</v>
      </c>
      <c r="O8" s="8">
        <f t="shared" si="4"/>
        <v>875</v>
      </c>
      <c r="P8" s="8"/>
      <c r="Q8" s="8">
        <v>464.58</v>
      </c>
      <c r="R8" s="8"/>
      <c r="S8" s="8"/>
      <c r="T8" s="12">
        <f t="shared" si="1"/>
        <v>1339.58</v>
      </c>
      <c r="U8" s="13">
        <f t="shared" si="2"/>
        <v>34660.42</v>
      </c>
    </row>
    <row r="9" spans="1:21" x14ac:dyDescent="0.2">
      <c r="A9" s="43"/>
      <c r="B9" s="6">
        <v>4</v>
      </c>
      <c r="C9" s="7" t="s">
        <v>140</v>
      </c>
      <c r="D9" s="8">
        <v>35000</v>
      </c>
      <c r="E9" s="8"/>
      <c r="F9" s="8"/>
      <c r="G9" s="8"/>
      <c r="H9" s="9">
        <f t="shared" si="0"/>
        <v>35000</v>
      </c>
      <c r="I9" s="8"/>
      <c r="J9" s="8"/>
      <c r="K9" s="8"/>
      <c r="L9" s="8"/>
      <c r="M9" s="10">
        <f t="shared" si="3"/>
        <v>0</v>
      </c>
      <c r="N9" s="11">
        <f>+H9+M9</f>
        <v>35000</v>
      </c>
      <c r="O9" s="8">
        <f t="shared" si="4"/>
        <v>875</v>
      </c>
      <c r="P9" s="8"/>
      <c r="Q9" s="8">
        <v>414.58</v>
      </c>
      <c r="R9" s="8"/>
      <c r="S9" s="8"/>
      <c r="T9" s="12">
        <f t="shared" si="1"/>
        <v>1289.58</v>
      </c>
      <c r="U9" s="13">
        <f t="shared" si="2"/>
        <v>33710.42</v>
      </c>
    </row>
    <row r="10" spans="1:21" x14ac:dyDescent="0.2">
      <c r="A10" s="43"/>
      <c r="B10" s="6">
        <v>5</v>
      </c>
      <c r="C10" s="7" t="s">
        <v>141</v>
      </c>
      <c r="D10" s="8">
        <v>33000</v>
      </c>
      <c r="E10" s="8"/>
      <c r="F10" s="8"/>
      <c r="G10" s="8"/>
      <c r="H10" s="9">
        <f t="shared" si="0"/>
        <v>33000</v>
      </c>
      <c r="I10" s="8"/>
      <c r="J10" s="8"/>
      <c r="K10" s="8"/>
      <c r="L10" s="8"/>
      <c r="M10" s="10">
        <f t="shared" si="3"/>
        <v>0</v>
      </c>
      <c r="N10" s="11">
        <f>+H10+M10</f>
        <v>33000</v>
      </c>
      <c r="O10" s="8">
        <f t="shared" si="4"/>
        <v>875</v>
      </c>
      <c r="P10" s="8"/>
      <c r="Q10" s="8">
        <v>314.58</v>
      </c>
      <c r="R10" s="8"/>
      <c r="S10" s="8"/>
      <c r="T10" s="12">
        <f t="shared" si="1"/>
        <v>1189.58</v>
      </c>
      <c r="U10" s="13">
        <f t="shared" si="2"/>
        <v>31810.42</v>
      </c>
    </row>
    <row r="11" spans="1:21" x14ac:dyDescent="0.2">
      <c r="A11" s="53"/>
      <c r="B11" s="6">
        <v>6</v>
      </c>
      <c r="C11" s="7" t="s">
        <v>142</v>
      </c>
      <c r="D11" s="8">
        <v>15000</v>
      </c>
      <c r="E11" s="8"/>
      <c r="F11" s="8"/>
      <c r="G11" s="8"/>
      <c r="H11" s="9">
        <f t="shared" si="0"/>
        <v>15000</v>
      </c>
      <c r="I11" s="8"/>
      <c r="J11" s="8"/>
      <c r="K11" s="8"/>
      <c r="L11" s="8"/>
      <c r="M11" s="10">
        <f t="shared" si="3"/>
        <v>0</v>
      </c>
      <c r="N11" s="11">
        <f>+H11+M11</f>
        <v>15000</v>
      </c>
      <c r="O11" s="8">
        <f t="shared" si="4"/>
        <v>750</v>
      </c>
      <c r="P11" s="8"/>
      <c r="Q11" s="8"/>
      <c r="R11" s="8"/>
      <c r="S11" s="8"/>
      <c r="T11" s="12">
        <f t="shared" si="1"/>
        <v>750</v>
      </c>
      <c r="U11" s="13">
        <f t="shared" si="2"/>
        <v>14250</v>
      </c>
    </row>
    <row r="12" spans="1:21" x14ac:dyDescent="0.2">
      <c r="A12" s="41" t="s">
        <v>37</v>
      </c>
      <c r="B12" s="41"/>
      <c r="C12" s="41"/>
      <c r="D12" s="14">
        <f t="shared" ref="D12:Q12" si="5">+SUM(D6:D11)</f>
        <v>196000</v>
      </c>
      <c r="E12" s="14">
        <f t="shared" si="5"/>
        <v>0</v>
      </c>
      <c r="F12" s="14">
        <f t="shared" si="5"/>
        <v>0</v>
      </c>
      <c r="G12" s="14">
        <f t="shared" si="5"/>
        <v>2300</v>
      </c>
      <c r="H12" s="14">
        <f t="shared" si="5"/>
        <v>198300</v>
      </c>
      <c r="I12" s="14">
        <f t="shared" si="5"/>
        <v>0</v>
      </c>
      <c r="J12" s="14">
        <f t="shared" si="5"/>
        <v>0</v>
      </c>
      <c r="K12" s="14">
        <f t="shared" si="5"/>
        <v>0</v>
      </c>
      <c r="L12" s="14">
        <f t="shared" si="5"/>
        <v>0</v>
      </c>
      <c r="M12" s="14">
        <f t="shared" si="5"/>
        <v>0</v>
      </c>
      <c r="N12" s="14">
        <f t="shared" si="5"/>
        <v>198300</v>
      </c>
      <c r="O12" s="14">
        <f t="shared" si="5"/>
        <v>5125</v>
      </c>
      <c r="P12" s="14">
        <f t="shared" si="5"/>
        <v>1200</v>
      </c>
      <c r="Q12" s="14">
        <f t="shared" si="5"/>
        <v>2562.4899999999998</v>
      </c>
      <c r="R12" s="14">
        <f>+SUM(R6:R11)</f>
        <v>5000</v>
      </c>
      <c r="S12" s="14"/>
      <c r="T12" s="16">
        <f>+SUM(T6:T11)</f>
        <v>15287.49</v>
      </c>
      <c r="U12" s="15">
        <f>+SUM(U6:U11)</f>
        <v>183012.51</v>
      </c>
    </row>
    <row r="14" spans="1:21" x14ac:dyDescent="0.2">
      <c r="A14" s="52" t="s">
        <v>25</v>
      </c>
      <c r="B14" s="46" t="s">
        <v>5</v>
      </c>
      <c r="C14" s="46" t="s">
        <v>6</v>
      </c>
      <c r="D14" s="46" t="s">
        <v>21</v>
      </c>
      <c r="E14" s="46"/>
      <c r="F14" s="46"/>
      <c r="G14" s="46"/>
      <c r="H14" s="46" t="s">
        <v>11</v>
      </c>
      <c r="I14" s="67" t="s">
        <v>14</v>
      </c>
      <c r="J14" s="68"/>
      <c r="K14" s="68"/>
      <c r="L14" s="69"/>
      <c r="M14" s="75" t="s">
        <v>29</v>
      </c>
      <c r="N14" s="46" t="s">
        <v>18</v>
      </c>
      <c r="O14" s="46" t="s">
        <v>26</v>
      </c>
      <c r="P14" s="46" t="s">
        <v>23</v>
      </c>
      <c r="Q14" s="46" t="s">
        <v>40</v>
      </c>
    </row>
    <row r="15" spans="1:21" x14ac:dyDescent="0.2">
      <c r="A15" s="52"/>
      <c r="B15" s="46"/>
      <c r="C15" s="46"/>
      <c r="D15" s="17" t="s">
        <v>7</v>
      </c>
      <c r="E15" s="17" t="s">
        <v>149</v>
      </c>
      <c r="F15" s="17"/>
      <c r="G15" s="17" t="s">
        <v>12</v>
      </c>
      <c r="H15" s="46"/>
      <c r="I15" s="17" t="s">
        <v>15</v>
      </c>
      <c r="J15" s="17" t="s">
        <v>16</v>
      </c>
      <c r="K15" s="5" t="s">
        <v>43</v>
      </c>
      <c r="L15" s="17" t="s">
        <v>17</v>
      </c>
      <c r="M15" s="76"/>
      <c r="N15" s="46"/>
      <c r="O15" s="46"/>
      <c r="P15" s="46"/>
      <c r="Q15" s="46"/>
    </row>
    <row r="16" spans="1:21" x14ac:dyDescent="0.2">
      <c r="A16" s="52"/>
      <c r="B16" s="6">
        <v>1</v>
      </c>
      <c r="C16" s="7" t="s">
        <v>144</v>
      </c>
      <c r="D16" s="8">
        <v>38500</v>
      </c>
      <c r="E16" s="8"/>
      <c r="F16" s="8"/>
      <c r="G16" s="8"/>
      <c r="H16" s="10">
        <f>+SUM(D16:G16)</f>
        <v>38500</v>
      </c>
      <c r="I16" s="8"/>
      <c r="J16" s="8"/>
      <c r="K16" s="8"/>
      <c r="L16" s="8"/>
      <c r="M16" s="10">
        <f>+SUM(I16:L16)</f>
        <v>0</v>
      </c>
      <c r="N16" s="22">
        <f>+H16+M16</f>
        <v>38500</v>
      </c>
      <c r="O16" s="18">
        <f>IF(N16 &lt; 1000, 0, N16 * 3%)</f>
        <v>1155</v>
      </c>
      <c r="P16" s="23">
        <f>+N16-O16</f>
        <v>37345</v>
      </c>
      <c r="Q16" s="44">
        <v>244469</v>
      </c>
    </row>
    <row r="17" spans="1:17" x14ac:dyDescent="0.2">
      <c r="A17" s="52"/>
      <c r="B17" s="6">
        <v>2</v>
      </c>
      <c r="C17" s="7" t="s">
        <v>145</v>
      </c>
      <c r="D17" s="8">
        <v>15000</v>
      </c>
      <c r="E17" s="8">
        <v>2000</v>
      </c>
      <c r="F17" s="8"/>
      <c r="G17" s="8"/>
      <c r="H17" s="10">
        <f>+SUM(D17:G17)</f>
        <v>17000</v>
      </c>
      <c r="I17" s="8"/>
      <c r="J17" s="8"/>
      <c r="K17" s="8"/>
      <c r="L17" s="8"/>
      <c r="M17" s="10">
        <f t="shared" ref="M17:M20" si="6">+SUM(I17:L17)</f>
        <v>0</v>
      </c>
      <c r="N17" s="22">
        <f>+H17+M17</f>
        <v>17000</v>
      </c>
      <c r="O17" s="18">
        <f t="shared" ref="O17:O20" si="7">IF(N17 &lt; 1000, 0, N17 * 3%)</f>
        <v>510</v>
      </c>
      <c r="P17" s="23">
        <f t="shared" ref="P17:P20" si="8">+N17-O17</f>
        <v>16490</v>
      </c>
      <c r="Q17" s="45"/>
    </row>
    <row r="18" spans="1:17" x14ac:dyDescent="0.2">
      <c r="A18" s="52"/>
      <c r="B18" s="6">
        <v>3</v>
      </c>
      <c r="C18" s="7" t="s">
        <v>146</v>
      </c>
      <c r="D18" s="8">
        <v>17000</v>
      </c>
      <c r="E18" s="8"/>
      <c r="F18" s="8"/>
      <c r="G18" s="8"/>
      <c r="H18" s="10">
        <f t="shared" ref="H18:H19" si="9">+SUM(D18:G18)</f>
        <v>17000</v>
      </c>
      <c r="I18" s="8"/>
      <c r="J18" s="8"/>
      <c r="K18" s="8"/>
      <c r="L18" s="8"/>
      <c r="M18" s="10"/>
      <c r="N18" s="22">
        <f>+H18+M18</f>
        <v>17000</v>
      </c>
      <c r="O18" s="18">
        <f t="shared" si="7"/>
        <v>510</v>
      </c>
      <c r="P18" s="23">
        <f t="shared" ref="P18:P19" si="10">+N18-O18</f>
        <v>16490</v>
      </c>
      <c r="Q18" s="45"/>
    </row>
    <row r="19" spans="1:17" x14ac:dyDescent="0.2">
      <c r="A19" s="52"/>
      <c r="B19" s="6">
        <v>4</v>
      </c>
      <c r="C19" s="7" t="s">
        <v>147</v>
      </c>
      <c r="D19" s="8">
        <v>2061.86</v>
      </c>
      <c r="E19" s="8"/>
      <c r="F19" s="8"/>
      <c r="G19" s="8"/>
      <c r="H19" s="10">
        <f t="shared" si="9"/>
        <v>2061.86</v>
      </c>
      <c r="I19" s="8"/>
      <c r="J19" s="8"/>
      <c r="K19" s="8"/>
      <c r="L19" s="8"/>
      <c r="M19" s="10"/>
      <c r="N19" s="22">
        <f>+H19+M19</f>
        <v>2061.86</v>
      </c>
      <c r="O19" s="18">
        <f t="shared" si="7"/>
        <v>61.855800000000002</v>
      </c>
      <c r="P19" s="23">
        <f t="shared" si="10"/>
        <v>2000.0042000000001</v>
      </c>
      <c r="Q19" s="45"/>
    </row>
    <row r="20" spans="1:17" x14ac:dyDescent="0.2">
      <c r="A20" s="52"/>
      <c r="B20" s="6">
        <v>5</v>
      </c>
      <c r="C20" s="7" t="s">
        <v>148</v>
      </c>
      <c r="D20" s="8">
        <v>7000</v>
      </c>
      <c r="E20" s="8"/>
      <c r="F20" s="8"/>
      <c r="G20" s="8"/>
      <c r="H20" s="10">
        <f>+SUM(D20:G20)</f>
        <v>7000</v>
      </c>
      <c r="I20" s="8"/>
      <c r="J20" s="8"/>
      <c r="K20" s="8"/>
      <c r="L20" s="8"/>
      <c r="M20" s="10">
        <f t="shared" si="6"/>
        <v>0</v>
      </c>
      <c r="N20" s="22">
        <f>+H20+M20</f>
        <v>7000</v>
      </c>
      <c r="O20" s="18">
        <f t="shared" si="7"/>
        <v>210</v>
      </c>
      <c r="P20" s="23">
        <f t="shared" si="8"/>
        <v>6790</v>
      </c>
      <c r="Q20" s="54"/>
    </row>
    <row r="21" spans="1:17" x14ac:dyDescent="0.2">
      <c r="A21" s="41" t="s">
        <v>39</v>
      </c>
      <c r="B21" s="41"/>
      <c r="C21" s="41"/>
      <c r="D21" s="15">
        <f t="shared" ref="D21:P21" si="11">+SUM(D16:D20)</f>
        <v>79561.86</v>
      </c>
      <c r="E21" s="15">
        <f t="shared" si="11"/>
        <v>2000</v>
      </c>
      <c r="F21" s="15">
        <f t="shared" si="11"/>
        <v>0</v>
      </c>
      <c r="G21" s="15">
        <f t="shared" si="11"/>
        <v>0</v>
      </c>
      <c r="H21" s="15">
        <f t="shared" si="11"/>
        <v>81561.86</v>
      </c>
      <c r="I21" s="15">
        <f t="shared" si="11"/>
        <v>0</v>
      </c>
      <c r="J21" s="15">
        <f t="shared" si="11"/>
        <v>0</v>
      </c>
      <c r="K21" s="15">
        <f t="shared" si="11"/>
        <v>0</v>
      </c>
      <c r="L21" s="15">
        <f t="shared" si="11"/>
        <v>0</v>
      </c>
      <c r="M21" s="15">
        <f t="shared" si="11"/>
        <v>0</v>
      </c>
      <c r="N21" s="15">
        <f t="shared" si="11"/>
        <v>81561.86</v>
      </c>
      <c r="O21" s="16">
        <f t="shared" si="11"/>
        <v>2446.8557999999998</v>
      </c>
      <c r="P21" s="15">
        <f t="shared" si="11"/>
        <v>79115.004199999996</v>
      </c>
      <c r="Q21" s="15"/>
    </row>
    <row r="23" spans="1:17" x14ac:dyDescent="0.2">
      <c r="A23" s="52" t="s">
        <v>24</v>
      </c>
      <c r="B23" s="17" t="s">
        <v>5</v>
      </c>
      <c r="C23" s="17" t="s">
        <v>6</v>
      </c>
      <c r="D23" s="17" t="s">
        <v>11</v>
      </c>
      <c r="E23" s="17" t="s">
        <v>157</v>
      </c>
      <c r="F23" s="17" t="s">
        <v>20</v>
      </c>
      <c r="G23" s="5" t="s">
        <v>23</v>
      </c>
      <c r="M23" s="36" t="s">
        <v>40</v>
      </c>
    </row>
    <row r="24" spans="1:17" x14ac:dyDescent="0.2">
      <c r="A24" s="52"/>
      <c r="B24" s="6">
        <v>1</v>
      </c>
      <c r="C24" s="7" t="s">
        <v>156</v>
      </c>
      <c r="D24" s="35">
        <v>30000</v>
      </c>
      <c r="E24" s="35">
        <v>0</v>
      </c>
      <c r="F24" s="35">
        <v>3041.67</v>
      </c>
      <c r="G24" s="66">
        <f>+D24-F24+E24</f>
        <v>26958.33</v>
      </c>
      <c r="H24" s="64"/>
      <c r="L24" s="55"/>
    </row>
    <row r="25" spans="1:17" x14ac:dyDescent="0.2">
      <c r="A25" s="52"/>
      <c r="B25" s="6">
        <v>2</v>
      </c>
      <c r="C25" s="7" t="s">
        <v>28</v>
      </c>
      <c r="D25" s="28">
        <v>30000</v>
      </c>
      <c r="E25" s="28">
        <v>0</v>
      </c>
      <c r="F25" s="28">
        <v>3041.67</v>
      </c>
      <c r="G25" s="66">
        <f>+D25-F25+E25</f>
        <v>26958.33</v>
      </c>
      <c r="H25" s="64"/>
      <c r="L25" s="73"/>
    </row>
    <row r="26" spans="1:17" x14ac:dyDescent="0.2">
      <c r="A26" s="41" t="s">
        <v>38</v>
      </c>
      <c r="B26" s="41"/>
      <c r="C26" s="41"/>
      <c r="D26" s="19">
        <f>+SUM(D24:D25)</f>
        <v>60000</v>
      </c>
      <c r="E26" s="19">
        <f t="shared" ref="E26:G26" si="12">+SUM(E24:E25)</f>
        <v>0</v>
      </c>
      <c r="F26" s="19">
        <f t="shared" si="12"/>
        <v>6083.34</v>
      </c>
      <c r="G26" s="19">
        <f t="shared" si="12"/>
        <v>53916.66</v>
      </c>
      <c r="H26" s="65"/>
      <c r="I26" s="63">
        <f t="shared" ref="I26:K26" si="13">+SUM(I24:I25)</f>
        <v>0</v>
      </c>
      <c r="J26" s="19">
        <f t="shared" si="13"/>
        <v>0</v>
      </c>
      <c r="K26" s="19">
        <f t="shared" si="13"/>
        <v>0</v>
      </c>
      <c r="L26" s="74"/>
    </row>
  </sheetData>
  <mergeCells count="30">
    <mergeCell ref="N14:N15"/>
    <mergeCell ref="O14:O15"/>
    <mergeCell ref="P14:P15"/>
    <mergeCell ref="A14:A20"/>
    <mergeCell ref="B14:B15"/>
    <mergeCell ref="C14:C15"/>
    <mergeCell ref="D14:G14"/>
    <mergeCell ref="H14:H15"/>
    <mergeCell ref="U4:U5"/>
    <mergeCell ref="A12:C12"/>
    <mergeCell ref="A23:A25"/>
    <mergeCell ref="A26:C26"/>
    <mergeCell ref="D4:G4"/>
    <mergeCell ref="H4:H5"/>
    <mergeCell ref="I4:L4"/>
    <mergeCell ref="M4:M5"/>
    <mergeCell ref="N4:N5"/>
    <mergeCell ref="A21:C21"/>
    <mergeCell ref="A4:A11"/>
    <mergeCell ref="Q14:Q15"/>
    <mergeCell ref="Q16:Q20"/>
    <mergeCell ref="I14:L14"/>
    <mergeCell ref="M14:M15"/>
    <mergeCell ref="L24:L26"/>
    <mergeCell ref="A1:B1"/>
    <mergeCell ref="A2:B2"/>
    <mergeCell ref="B4:B5"/>
    <mergeCell ref="C4:C5"/>
    <mergeCell ref="T4:T5"/>
    <mergeCell ref="O4:S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70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21</xdr:col>
                    <xdr:colOff>209550</xdr:colOff>
                    <xdr:row>5</xdr:row>
                    <xdr:rowOff>19050</xdr:rowOff>
                  </from>
                  <to>
                    <xdr:col>21</xdr:col>
                    <xdr:colOff>638175</xdr:colOff>
                    <xdr:row>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21</xdr:col>
                    <xdr:colOff>209550</xdr:colOff>
                    <xdr:row>6</xdr:row>
                    <xdr:rowOff>19050</xdr:rowOff>
                  </from>
                  <to>
                    <xdr:col>21</xdr:col>
                    <xdr:colOff>638175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21</xdr:col>
                    <xdr:colOff>209550</xdr:colOff>
                    <xdr:row>7</xdr:row>
                    <xdr:rowOff>19050</xdr:rowOff>
                  </from>
                  <to>
                    <xdr:col>21</xdr:col>
                    <xdr:colOff>638175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21</xdr:col>
                    <xdr:colOff>209550</xdr:colOff>
                    <xdr:row>8</xdr:row>
                    <xdr:rowOff>19050</xdr:rowOff>
                  </from>
                  <to>
                    <xdr:col>21</xdr:col>
                    <xdr:colOff>638175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21</xdr:col>
                    <xdr:colOff>209550</xdr:colOff>
                    <xdr:row>9</xdr:row>
                    <xdr:rowOff>19050</xdr:rowOff>
                  </from>
                  <to>
                    <xdr:col>21</xdr:col>
                    <xdr:colOff>638175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21</xdr:col>
                    <xdr:colOff>209550</xdr:colOff>
                    <xdr:row>10</xdr:row>
                    <xdr:rowOff>19050</xdr:rowOff>
                  </from>
                  <to>
                    <xdr:col>21</xdr:col>
                    <xdr:colOff>638175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17</xdr:col>
                    <xdr:colOff>209550</xdr:colOff>
                    <xdr:row>15</xdr:row>
                    <xdr:rowOff>19050</xdr:rowOff>
                  </from>
                  <to>
                    <xdr:col>17</xdr:col>
                    <xdr:colOff>638175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17</xdr:col>
                    <xdr:colOff>209550</xdr:colOff>
                    <xdr:row>16</xdr:row>
                    <xdr:rowOff>19050</xdr:rowOff>
                  </from>
                  <to>
                    <xdr:col>17</xdr:col>
                    <xdr:colOff>638175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17</xdr:col>
                    <xdr:colOff>209550</xdr:colOff>
                    <xdr:row>17</xdr:row>
                    <xdr:rowOff>19050</xdr:rowOff>
                  </from>
                  <to>
                    <xdr:col>17</xdr:col>
                    <xdr:colOff>638175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17</xdr:col>
                    <xdr:colOff>209550</xdr:colOff>
                    <xdr:row>18</xdr:row>
                    <xdr:rowOff>19050</xdr:rowOff>
                  </from>
                  <to>
                    <xdr:col>17</xdr:col>
                    <xdr:colOff>638175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17</xdr:col>
                    <xdr:colOff>209550</xdr:colOff>
                    <xdr:row>19</xdr:row>
                    <xdr:rowOff>19050</xdr:rowOff>
                  </from>
                  <to>
                    <xdr:col>17</xdr:col>
                    <xdr:colOff>638175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12</xdr:col>
                    <xdr:colOff>209550</xdr:colOff>
                    <xdr:row>23</xdr:row>
                    <xdr:rowOff>19050</xdr:rowOff>
                  </from>
                  <to>
                    <xdr:col>13</xdr:col>
                    <xdr:colOff>428625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12</xdr:col>
                    <xdr:colOff>209550</xdr:colOff>
                    <xdr:row>24</xdr:row>
                    <xdr:rowOff>19050</xdr:rowOff>
                  </from>
                  <to>
                    <xdr:col>13</xdr:col>
                    <xdr:colOff>428625</xdr:colOff>
                    <xdr:row>24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F6E3-81EA-4D02-A4A2-544E2E9F21D9}">
  <sheetPr codeName="Sheet5">
    <tabColor rgb="FFFFC000"/>
    <pageSetUpPr fitToPage="1"/>
  </sheetPr>
  <dimension ref="A1:U35"/>
  <sheetViews>
    <sheetView zoomScale="85" zoomScaleNormal="85" workbookViewId="0">
      <selection activeCell="Q16" sqref="Q16"/>
    </sheetView>
  </sheetViews>
  <sheetFormatPr defaultColWidth="9" defaultRowHeight="21" x14ac:dyDescent="0.2"/>
  <cols>
    <col min="1" max="1" width="17.375" style="2" bestFit="1" customWidth="1"/>
    <col min="2" max="2" width="6.375" style="2" customWidth="1"/>
    <col min="3" max="3" width="32.625" style="2" bestFit="1" customWidth="1"/>
    <col min="4" max="4" width="9" style="2" bestFit="1" customWidth="1"/>
    <col min="5" max="5" width="8.25" style="2" bestFit="1" customWidth="1"/>
    <col min="6" max="6" width="9" style="2" bestFit="1" customWidth="1"/>
    <col min="7" max="7" width="6.125" style="2" bestFit="1" customWidth="1"/>
    <col min="8" max="8" width="6.875" style="2" bestFit="1" customWidth="1"/>
    <col min="9" max="9" width="7.625" style="2" bestFit="1" customWidth="1"/>
    <col min="10" max="10" width="9" style="2" bestFit="1" customWidth="1"/>
    <col min="11" max="11" width="8.25" style="2" bestFit="1" customWidth="1"/>
    <col min="12" max="13" width="7.5" style="2" bestFit="1" customWidth="1"/>
    <col min="14" max="14" width="6.25" style="2" bestFit="1" customWidth="1"/>
    <col min="15" max="15" width="12.75" style="2" bestFit="1" customWidth="1"/>
    <col min="16" max="16" width="9" style="2" bestFit="1" customWidth="1"/>
    <col min="17" max="17" width="8.625" style="2" bestFit="1" customWidth="1"/>
    <col min="18" max="18" width="9" style="2" bestFit="1" customWidth="1"/>
    <col min="19" max="19" width="7.75" style="2" bestFit="1" customWidth="1"/>
    <col min="20" max="20" width="10.75" style="2" bestFit="1" customWidth="1"/>
    <col min="21" max="21" width="9" style="2" bestFit="1" customWidth="1"/>
    <col min="22" max="16384" width="9" style="2"/>
  </cols>
  <sheetData>
    <row r="1" spans="1:21" x14ac:dyDescent="0.2">
      <c r="A1" s="38" t="s">
        <v>0</v>
      </c>
      <c r="B1" s="38"/>
      <c r="C1" s="1" t="s">
        <v>44</v>
      </c>
    </row>
    <row r="2" spans="1:21" x14ac:dyDescent="0.2">
      <c r="A2" s="38" t="s">
        <v>2</v>
      </c>
      <c r="B2" s="38"/>
      <c r="C2" s="3">
        <f>+ARI!C2</f>
        <v>244444</v>
      </c>
    </row>
    <row r="3" spans="1:21" x14ac:dyDescent="0.2">
      <c r="A3" s="38" t="s">
        <v>3</v>
      </c>
      <c r="B3" s="38"/>
      <c r="C3" s="3">
        <f>+ARI!C3</f>
        <v>244469</v>
      </c>
    </row>
    <row r="5" spans="1:21" x14ac:dyDescent="0.2">
      <c r="A5" s="52" t="s">
        <v>4</v>
      </c>
      <c r="B5" s="56" t="s">
        <v>5</v>
      </c>
      <c r="C5" s="56" t="s">
        <v>6</v>
      </c>
      <c r="D5" s="56" t="s">
        <v>21</v>
      </c>
      <c r="E5" s="56"/>
      <c r="F5" s="56"/>
      <c r="G5" s="56"/>
      <c r="H5" s="56"/>
      <c r="I5" s="56"/>
      <c r="J5" s="56" t="s">
        <v>11</v>
      </c>
      <c r="K5" s="56" t="s">
        <v>14</v>
      </c>
      <c r="L5" s="56"/>
      <c r="M5" s="56"/>
      <c r="N5" s="56"/>
      <c r="O5" s="57" t="s">
        <v>29</v>
      </c>
      <c r="P5" s="56" t="s">
        <v>18</v>
      </c>
      <c r="Q5" s="56" t="s">
        <v>19</v>
      </c>
      <c r="R5" s="56"/>
      <c r="S5" s="56"/>
      <c r="T5" s="57" t="s">
        <v>22</v>
      </c>
      <c r="U5" s="56" t="s">
        <v>23</v>
      </c>
    </row>
    <row r="6" spans="1:21" x14ac:dyDescent="0.2">
      <c r="A6" s="52"/>
      <c r="B6" s="56"/>
      <c r="C6" s="56"/>
      <c r="D6" s="30" t="s">
        <v>7</v>
      </c>
      <c r="E6" s="30" t="s">
        <v>8</v>
      </c>
      <c r="F6" s="30" t="s">
        <v>9</v>
      </c>
      <c r="G6" s="30" t="s">
        <v>10</v>
      </c>
      <c r="H6" s="30" t="s">
        <v>12</v>
      </c>
      <c r="I6" s="30" t="s">
        <v>13</v>
      </c>
      <c r="J6" s="56"/>
      <c r="K6" s="30" t="s">
        <v>15</v>
      </c>
      <c r="L6" s="30" t="s">
        <v>16</v>
      </c>
      <c r="M6" s="30" t="s">
        <v>43</v>
      </c>
      <c r="N6" s="30" t="s">
        <v>17</v>
      </c>
      <c r="O6" s="57"/>
      <c r="P6" s="56"/>
      <c r="Q6" s="30" t="s">
        <v>30</v>
      </c>
      <c r="R6" s="30" t="s">
        <v>31</v>
      </c>
      <c r="S6" s="30" t="s">
        <v>20</v>
      </c>
      <c r="T6" s="57"/>
      <c r="U6" s="56"/>
    </row>
    <row r="7" spans="1:21" x14ac:dyDescent="0.2">
      <c r="A7" s="52"/>
      <c r="B7" s="6">
        <v>1</v>
      </c>
      <c r="C7" s="7" t="s">
        <v>45</v>
      </c>
      <c r="D7" s="8">
        <v>17090.91</v>
      </c>
      <c r="E7" s="8">
        <v>6409.09</v>
      </c>
      <c r="F7" s="8"/>
      <c r="G7" s="8"/>
      <c r="H7" s="8"/>
      <c r="I7" s="8"/>
      <c r="J7" s="9">
        <f>+SUM(D7:I7)</f>
        <v>23500</v>
      </c>
      <c r="K7" s="8">
        <v>7223.53</v>
      </c>
      <c r="L7" s="8">
        <v>100</v>
      </c>
      <c r="M7" s="8"/>
      <c r="N7" s="8">
        <v>213.64</v>
      </c>
      <c r="O7" s="10">
        <f>+SUM(K7:N7)</f>
        <v>7537.17</v>
      </c>
      <c r="P7" s="11">
        <f>+J7+O7</f>
        <v>31037.17</v>
      </c>
      <c r="Q7" s="8">
        <f>ROUND(IF((J7+K7)&gt;17500, 875, (J7+K7)*5%), 0)</f>
        <v>875</v>
      </c>
      <c r="R7" s="8"/>
      <c r="S7" s="8">
        <v>370</v>
      </c>
      <c r="T7" s="12">
        <f>+SUM(Q7:S7)</f>
        <v>1245</v>
      </c>
      <c r="U7" s="13">
        <f>+P7-T7</f>
        <v>29792.17</v>
      </c>
    </row>
    <row r="8" spans="1:21" x14ac:dyDescent="0.2">
      <c r="A8" s="52"/>
      <c r="B8" s="6">
        <v>2</v>
      </c>
      <c r="C8" s="7" t="s">
        <v>46</v>
      </c>
      <c r="D8" s="8">
        <v>13818.18</v>
      </c>
      <c r="E8" s="8">
        <v>5181.82</v>
      </c>
      <c r="F8" s="8"/>
      <c r="G8" s="8"/>
      <c r="H8" s="8"/>
      <c r="I8" s="8">
        <f>800*2</f>
        <v>1600</v>
      </c>
      <c r="J8" s="9">
        <f t="shared" ref="J8:J15" si="0">+SUM(D8:I8)</f>
        <v>20600</v>
      </c>
      <c r="K8" s="8">
        <v>4151.45</v>
      </c>
      <c r="L8" s="8">
        <v>100</v>
      </c>
      <c r="M8" s="8"/>
      <c r="N8" s="8"/>
      <c r="O8" s="10">
        <f t="shared" ref="O8:O15" si="1">+SUM(K8:N8)</f>
        <v>4251.45</v>
      </c>
      <c r="P8" s="11">
        <f t="shared" ref="P8:P15" si="2">+J8+O8</f>
        <v>24851.45</v>
      </c>
      <c r="Q8" s="8">
        <f t="shared" ref="Q8:Q15" si="3">ROUND(IF((J8+K8)&gt;17500, 875, (J8+K8)*5%), 0)</f>
        <v>875</v>
      </c>
      <c r="R8" s="8"/>
      <c r="S8" s="8"/>
      <c r="T8" s="12">
        <f t="shared" ref="T8:T15" si="4">+SUM(Q8:S8)</f>
        <v>875</v>
      </c>
      <c r="U8" s="13">
        <f t="shared" ref="U8:U15" si="5">+P8-T8</f>
        <v>23976.45</v>
      </c>
    </row>
    <row r="9" spans="1:21" x14ac:dyDescent="0.2">
      <c r="A9" s="52"/>
      <c r="B9" s="6">
        <v>3</v>
      </c>
      <c r="C9" s="7" t="s">
        <v>47</v>
      </c>
      <c r="D9" s="8">
        <v>19636.36</v>
      </c>
      <c r="E9" s="8">
        <v>7363.64</v>
      </c>
      <c r="F9" s="8"/>
      <c r="G9" s="8"/>
      <c r="H9" s="8"/>
      <c r="I9" s="8">
        <f>800*2</f>
        <v>1600</v>
      </c>
      <c r="J9" s="9">
        <f t="shared" si="0"/>
        <v>28600</v>
      </c>
      <c r="K9" s="8">
        <v>9100</v>
      </c>
      <c r="L9" s="8">
        <v>100</v>
      </c>
      <c r="M9" s="8"/>
      <c r="N9" s="8"/>
      <c r="O9" s="10">
        <f t="shared" si="1"/>
        <v>9200</v>
      </c>
      <c r="P9" s="11">
        <f t="shared" si="2"/>
        <v>37800</v>
      </c>
      <c r="Q9" s="8">
        <f t="shared" si="3"/>
        <v>875</v>
      </c>
      <c r="R9" s="8"/>
      <c r="S9" s="8">
        <v>900</v>
      </c>
      <c r="T9" s="12">
        <f t="shared" si="4"/>
        <v>1775</v>
      </c>
      <c r="U9" s="13">
        <f t="shared" si="5"/>
        <v>36025</v>
      </c>
    </row>
    <row r="10" spans="1:21" x14ac:dyDescent="0.2">
      <c r="A10" s="52"/>
      <c r="B10" s="6">
        <v>4</v>
      </c>
      <c r="C10" s="7" t="s">
        <v>48</v>
      </c>
      <c r="D10" s="8">
        <v>13090.91</v>
      </c>
      <c r="E10" s="8">
        <v>4909.09</v>
      </c>
      <c r="F10" s="8"/>
      <c r="G10" s="8"/>
      <c r="H10" s="8"/>
      <c r="I10" s="8"/>
      <c r="J10" s="9">
        <f t="shared" si="0"/>
        <v>18000</v>
      </c>
      <c r="K10" s="8">
        <v>4981.74</v>
      </c>
      <c r="L10" s="8">
        <v>100</v>
      </c>
      <c r="M10" s="8">
        <v>500</v>
      </c>
      <c r="N10" s="8"/>
      <c r="O10" s="10">
        <f t="shared" si="1"/>
        <v>5581.74</v>
      </c>
      <c r="P10" s="11">
        <f t="shared" si="2"/>
        <v>23581.739999999998</v>
      </c>
      <c r="Q10" s="8">
        <f t="shared" si="3"/>
        <v>875</v>
      </c>
      <c r="R10" s="8"/>
      <c r="S10" s="8"/>
      <c r="T10" s="12">
        <f t="shared" si="4"/>
        <v>875</v>
      </c>
      <c r="U10" s="13">
        <f t="shared" si="5"/>
        <v>22706.739999999998</v>
      </c>
    </row>
    <row r="11" spans="1:21" x14ac:dyDescent="0.2">
      <c r="A11" s="52"/>
      <c r="B11" s="6">
        <v>5</v>
      </c>
      <c r="C11" s="7" t="s">
        <v>49</v>
      </c>
      <c r="D11" s="8">
        <v>13818.18</v>
      </c>
      <c r="E11" s="8">
        <v>5181.82</v>
      </c>
      <c r="F11" s="8"/>
      <c r="G11" s="8"/>
      <c r="H11" s="8"/>
      <c r="I11" s="8">
        <f>800*2</f>
        <v>1600</v>
      </c>
      <c r="J11" s="9">
        <f t="shared" si="0"/>
        <v>20600</v>
      </c>
      <c r="K11" s="8">
        <v>3985.39</v>
      </c>
      <c r="L11" s="8">
        <v>100</v>
      </c>
      <c r="M11" s="8">
        <v>500</v>
      </c>
      <c r="N11" s="8"/>
      <c r="O11" s="10">
        <f t="shared" si="1"/>
        <v>4585.3899999999994</v>
      </c>
      <c r="P11" s="11">
        <f t="shared" si="2"/>
        <v>25185.39</v>
      </c>
      <c r="Q11" s="8">
        <f t="shared" si="3"/>
        <v>875</v>
      </c>
      <c r="R11" s="8"/>
      <c r="S11" s="8"/>
      <c r="T11" s="12">
        <f t="shared" si="4"/>
        <v>875</v>
      </c>
      <c r="U11" s="13">
        <f t="shared" si="5"/>
        <v>24310.39</v>
      </c>
    </row>
    <row r="12" spans="1:21" x14ac:dyDescent="0.2">
      <c r="A12" s="52"/>
      <c r="B12" s="6">
        <v>6</v>
      </c>
      <c r="C12" s="7" t="s">
        <v>50</v>
      </c>
      <c r="D12" s="8">
        <v>11636.36</v>
      </c>
      <c r="E12" s="8">
        <v>4363.6400000000003</v>
      </c>
      <c r="F12" s="8"/>
      <c r="G12" s="8"/>
      <c r="H12" s="8"/>
      <c r="I12" s="8"/>
      <c r="J12" s="9">
        <f t="shared" si="0"/>
        <v>16000</v>
      </c>
      <c r="K12" s="8">
        <f>4649.63-3000</f>
        <v>1649.63</v>
      </c>
      <c r="L12" s="8">
        <v>100</v>
      </c>
      <c r="M12" s="8"/>
      <c r="N12" s="8"/>
      <c r="O12" s="10">
        <f t="shared" si="1"/>
        <v>1749.63</v>
      </c>
      <c r="P12" s="11">
        <f t="shared" si="2"/>
        <v>17749.63</v>
      </c>
      <c r="Q12" s="8">
        <f t="shared" si="3"/>
        <v>875</v>
      </c>
      <c r="R12" s="8"/>
      <c r="S12" s="8"/>
      <c r="T12" s="12">
        <f t="shared" si="4"/>
        <v>875</v>
      </c>
      <c r="U12" s="13">
        <f t="shared" si="5"/>
        <v>16874.63</v>
      </c>
    </row>
    <row r="13" spans="1:21" x14ac:dyDescent="0.2">
      <c r="A13" s="52"/>
      <c r="B13" s="6">
        <v>7</v>
      </c>
      <c r="C13" s="7" t="s">
        <v>51</v>
      </c>
      <c r="D13" s="8">
        <v>10909.09</v>
      </c>
      <c r="E13" s="8">
        <v>4090.91</v>
      </c>
      <c r="F13" s="8"/>
      <c r="G13" s="8"/>
      <c r="H13" s="8"/>
      <c r="I13" s="8">
        <f>800*2</f>
        <v>1600</v>
      </c>
      <c r="J13" s="9">
        <f t="shared" si="0"/>
        <v>16600</v>
      </c>
      <c r="K13" s="8">
        <f>4815.69-1068.38</f>
        <v>3747.3099999999995</v>
      </c>
      <c r="L13" s="8">
        <v>100</v>
      </c>
      <c r="M13" s="8"/>
      <c r="N13" s="8">
        <v>34.090000000000003</v>
      </c>
      <c r="O13" s="10">
        <f t="shared" si="1"/>
        <v>3881.3999999999996</v>
      </c>
      <c r="P13" s="11">
        <f t="shared" si="2"/>
        <v>20481.400000000001</v>
      </c>
      <c r="Q13" s="8">
        <f t="shared" si="3"/>
        <v>875</v>
      </c>
      <c r="R13" s="8"/>
      <c r="S13" s="8"/>
      <c r="T13" s="12">
        <f t="shared" si="4"/>
        <v>875</v>
      </c>
      <c r="U13" s="13">
        <f t="shared" si="5"/>
        <v>19606.400000000001</v>
      </c>
    </row>
    <row r="14" spans="1:21" x14ac:dyDescent="0.2">
      <c r="A14" s="52"/>
      <c r="B14" s="6">
        <v>8</v>
      </c>
      <c r="C14" s="7" t="s">
        <v>52</v>
      </c>
      <c r="D14" s="8">
        <v>13818.18</v>
      </c>
      <c r="E14" s="8">
        <v>5181.82</v>
      </c>
      <c r="F14" s="8"/>
      <c r="G14" s="8"/>
      <c r="H14" s="8"/>
      <c r="I14" s="8"/>
      <c r="J14" s="9">
        <f>+SUM(D14:I14)</f>
        <v>19000</v>
      </c>
      <c r="K14" s="8">
        <v>4649.63</v>
      </c>
      <c r="L14" s="8">
        <v>100</v>
      </c>
      <c r="M14" s="8"/>
      <c r="N14" s="8"/>
      <c r="O14" s="10">
        <f t="shared" si="1"/>
        <v>4749.63</v>
      </c>
      <c r="P14" s="11">
        <f t="shared" si="2"/>
        <v>23749.63</v>
      </c>
      <c r="Q14" s="8">
        <f t="shared" si="3"/>
        <v>875</v>
      </c>
      <c r="R14" s="8">
        <v>649</v>
      </c>
      <c r="S14" s="8"/>
      <c r="T14" s="12">
        <f t="shared" si="4"/>
        <v>1524</v>
      </c>
      <c r="U14" s="13">
        <f t="shared" si="5"/>
        <v>22225.63</v>
      </c>
    </row>
    <row r="15" spans="1:21" x14ac:dyDescent="0.2">
      <c r="A15" s="52"/>
      <c r="B15" s="6">
        <v>9</v>
      </c>
      <c r="C15" s="7" t="s">
        <v>53</v>
      </c>
      <c r="D15" s="8">
        <v>11636.36</v>
      </c>
      <c r="E15" s="8">
        <v>4363.6400000000003</v>
      </c>
      <c r="F15" s="8"/>
      <c r="G15" s="8"/>
      <c r="H15" s="8"/>
      <c r="I15" s="8"/>
      <c r="J15" s="9">
        <f t="shared" si="0"/>
        <v>16000</v>
      </c>
      <c r="K15" s="8">
        <v>4649.63</v>
      </c>
      <c r="L15" s="8">
        <v>100</v>
      </c>
      <c r="M15" s="8"/>
      <c r="N15" s="8"/>
      <c r="O15" s="10">
        <f t="shared" si="1"/>
        <v>4749.63</v>
      </c>
      <c r="P15" s="11">
        <f t="shared" si="2"/>
        <v>20749.63</v>
      </c>
      <c r="Q15" s="8">
        <f t="shared" si="3"/>
        <v>875</v>
      </c>
      <c r="R15" s="8"/>
      <c r="S15" s="8"/>
      <c r="T15" s="12">
        <f t="shared" si="4"/>
        <v>875</v>
      </c>
      <c r="U15" s="13">
        <f t="shared" si="5"/>
        <v>19874.63</v>
      </c>
    </row>
    <row r="16" spans="1:21" x14ac:dyDescent="0.2">
      <c r="A16" s="41" t="s">
        <v>37</v>
      </c>
      <c r="B16" s="41"/>
      <c r="C16" s="41"/>
      <c r="D16" s="15">
        <f t="shared" ref="D16:U16" si="6">+SUM(D7:D15)</f>
        <v>125454.53000000001</v>
      </c>
      <c r="E16" s="15">
        <f t="shared" si="6"/>
        <v>47045.469999999994</v>
      </c>
      <c r="F16" s="15">
        <f t="shared" si="6"/>
        <v>0</v>
      </c>
      <c r="G16" s="15">
        <f t="shared" si="6"/>
        <v>0</v>
      </c>
      <c r="H16" s="15">
        <f t="shared" si="6"/>
        <v>0</v>
      </c>
      <c r="I16" s="15">
        <f t="shared" si="6"/>
        <v>6400</v>
      </c>
      <c r="J16" s="15">
        <f t="shared" si="6"/>
        <v>178900</v>
      </c>
      <c r="K16" s="15">
        <f t="shared" si="6"/>
        <v>44138.31</v>
      </c>
      <c r="L16" s="15">
        <f t="shared" si="6"/>
        <v>900</v>
      </c>
      <c r="M16" s="15">
        <f t="shared" si="6"/>
        <v>1000</v>
      </c>
      <c r="N16" s="15">
        <f t="shared" si="6"/>
        <v>247.73</v>
      </c>
      <c r="O16" s="15">
        <f t="shared" si="6"/>
        <v>46286.039999999994</v>
      </c>
      <c r="P16" s="15">
        <f t="shared" si="6"/>
        <v>225186.04</v>
      </c>
      <c r="Q16" s="15">
        <f t="shared" si="6"/>
        <v>7875</v>
      </c>
      <c r="R16" s="15">
        <f t="shared" si="6"/>
        <v>649</v>
      </c>
      <c r="S16" s="15">
        <f t="shared" si="6"/>
        <v>1270</v>
      </c>
      <c r="T16" s="15">
        <f t="shared" si="6"/>
        <v>9794</v>
      </c>
      <c r="U16" s="15">
        <f t="shared" si="6"/>
        <v>215392.04</v>
      </c>
    </row>
    <row r="18" spans="1:19" x14ac:dyDescent="0.2">
      <c r="A18" s="52" t="s">
        <v>25</v>
      </c>
      <c r="B18" s="39" t="s">
        <v>5</v>
      </c>
      <c r="C18" s="39" t="s">
        <v>6</v>
      </c>
      <c r="D18" s="39" t="s">
        <v>21</v>
      </c>
      <c r="E18" s="39"/>
      <c r="F18" s="39"/>
      <c r="G18" s="39"/>
      <c r="H18" s="39"/>
      <c r="I18" s="39"/>
      <c r="J18" s="39" t="s">
        <v>55</v>
      </c>
      <c r="K18" s="39" t="s">
        <v>14</v>
      </c>
      <c r="L18" s="39"/>
      <c r="M18" s="39"/>
      <c r="N18" s="39"/>
      <c r="O18" s="40" t="s">
        <v>29</v>
      </c>
      <c r="P18" s="39" t="s">
        <v>56</v>
      </c>
      <c r="Q18" s="39" t="s">
        <v>26</v>
      </c>
      <c r="R18" s="39" t="s">
        <v>23</v>
      </c>
      <c r="S18" s="39" t="s">
        <v>40</v>
      </c>
    </row>
    <row r="19" spans="1:19" x14ac:dyDescent="0.2">
      <c r="A19" s="52"/>
      <c r="B19" s="39"/>
      <c r="C19" s="39"/>
      <c r="D19" s="5" t="s">
        <v>55</v>
      </c>
      <c r="E19" s="5" t="s">
        <v>8</v>
      </c>
      <c r="F19" s="5" t="s">
        <v>9</v>
      </c>
      <c r="G19" s="5" t="s">
        <v>10</v>
      </c>
      <c r="H19" s="5" t="s">
        <v>12</v>
      </c>
      <c r="I19" s="5" t="s">
        <v>13</v>
      </c>
      <c r="J19" s="39"/>
      <c r="K19" s="5" t="s">
        <v>15</v>
      </c>
      <c r="L19" s="5" t="s">
        <v>16</v>
      </c>
      <c r="M19" s="30" t="s">
        <v>43</v>
      </c>
      <c r="N19" s="5" t="s">
        <v>17</v>
      </c>
      <c r="O19" s="40"/>
      <c r="P19" s="39"/>
      <c r="Q19" s="39"/>
      <c r="R19" s="39"/>
      <c r="S19" s="39"/>
    </row>
    <row r="20" spans="1:19" x14ac:dyDescent="0.2">
      <c r="A20" s="52"/>
      <c r="B20" s="6">
        <v>1</v>
      </c>
      <c r="C20" s="32" t="s">
        <v>54</v>
      </c>
      <c r="D20" s="33">
        <v>115000</v>
      </c>
      <c r="E20" s="33"/>
      <c r="F20" s="33"/>
      <c r="G20" s="33"/>
      <c r="H20" s="33"/>
      <c r="I20" s="33"/>
      <c r="J20" s="10">
        <f t="shared" ref="J20:J24" si="7">+SUM(D20:I20)</f>
        <v>115000</v>
      </c>
      <c r="K20" s="6"/>
      <c r="L20" s="6"/>
      <c r="M20" s="34"/>
      <c r="N20" s="6"/>
      <c r="O20" s="10">
        <f t="shared" ref="O20:O24" si="8">+SUM(K20:N20)</f>
        <v>0</v>
      </c>
      <c r="P20" s="22">
        <f t="shared" ref="P20:P24" si="9">+J20+O20</f>
        <v>115000</v>
      </c>
      <c r="Q20" s="18">
        <f t="shared" ref="Q20:Q24" si="10">IF(P20 &lt; 1000, 0, P20 * 3%)</f>
        <v>3450</v>
      </c>
      <c r="R20" s="23">
        <f t="shared" ref="R20:R24" si="11">+P20-Q20</f>
        <v>111550</v>
      </c>
      <c r="S20" s="55">
        <v>244443</v>
      </c>
    </row>
    <row r="21" spans="1:19" x14ac:dyDescent="0.2">
      <c r="A21" s="52"/>
      <c r="B21" s="6">
        <v>2</v>
      </c>
      <c r="C21" s="32" t="s">
        <v>147</v>
      </c>
      <c r="D21" s="33">
        <v>30000</v>
      </c>
      <c r="E21" s="33"/>
      <c r="F21" s="33"/>
      <c r="G21" s="33"/>
      <c r="H21" s="33"/>
      <c r="I21" s="33"/>
      <c r="J21" s="10">
        <f t="shared" si="7"/>
        <v>30000</v>
      </c>
      <c r="K21" s="6"/>
      <c r="L21" s="6"/>
      <c r="M21" s="34"/>
      <c r="N21" s="6"/>
      <c r="O21" s="10">
        <f t="shared" si="8"/>
        <v>0</v>
      </c>
      <c r="P21" s="22">
        <f t="shared" si="9"/>
        <v>30000</v>
      </c>
      <c r="Q21" s="18">
        <f t="shared" si="10"/>
        <v>900</v>
      </c>
      <c r="R21" s="23">
        <f t="shared" si="11"/>
        <v>29100</v>
      </c>
      <c r="S21" s="58"/>
    </row>
    <row r="22" spans="1:19" x14ac:dyDescent="0.2">
      <c r="A22" s="52"/>
      <c r="B22" s="6">
        <v>3</v>
      </c>
      <c r="C22" s="32" t="s">
        <v>150</v>
      </c>
      <c r="D22" s="33">
        <v>30000</v>
      </c>
      <c r="E22" s="33"/>
      <c r="F22" s="33"/>
      <c r="G22" s="33"/>
      <c r="H22" s="33"/>
      <c r="I22" s="33"/>
      <c r="J22" s="10">
        <f t="shared" si="7"/>
        <v>30000</v>
      </c>
      <c r="K22" s="6"/>
      <c r="L22" s="6"/>
      <c r="M22" s="34"/>
      <c r="N22" s="6"/>
      <c r="O22" s="10">
        <f t="shared" si="8"/>
        <v>0</v>
      </c>
      <c r="P22" s="22">
        <f t="shared" si="9"/>
        <v>30000</v>
      </c>
      <c r="Q22" s="18">
        <f t="shared" si="10"/>
        <v>900</v>
      </c>
      <c r="R22" s="23">
        <f t="shared" si="11"/>
        <v>29100</v>
      </c>
      <c r="S22" s="58"/>
    </row>
    <row r="23" spans="1:19" x14ac:dyDescent="0.2">
      <c r="A23" s="52"/>
      <c r="B23" s="6">
        <v>4</v>
      </c>
      <c r="C23" s="32" t="s">
        <v>151</v>
      </c>
      <c r="D23" s="33">
        <v>15000</v>
      </c>
      <c r="E23" s="33"/>
      <c r="F23" s="33"/>
      <c r="G23" s="33"/>
      <c r="H23" s="33"/>
      <c r="I23" s="33"/>
      <c r="J23" s="10">
        <f t="shared" si="7"/>
        <v>15000</v>
      </c>
      <c r="K23" s="6"/>
      <c r="L23" s="6"/>
      <c r="M23" s="34"/>
      <c r="N23" s="6"/>
      <c r="O23" s="10">
        <f t="shared" si="8"/>
        <v>0</v>
      </c>
      <c r="P23" s="22">
        <f t="shared" si="9"/>
        <v>15000</v>
      </c>
      <c r="Q23" s="18">
        <f t="shared" si="10"/>
        <v>450</v>
      </c>
      <c r="R23" s="23">
        <f t="shared" si="11"/>
        <v>14550</v>
      </c>
      <c r="S23" s="58"/>
    </row>
    <row r="24" spans="1:19" x14ac:dyDescent="0.2">
      <c r="A24" s="52"/>
      <c r="B24" s="6">
        <v>5</v>
      </c>
      <c r="C24" s="32" t="s">
        <v>155</v>
      </c>
      <c r="D24" s="33">
        <v>20000</v>
      </c>
      <c r="E24" s="33"/>
      <c r="F24" s="33"/>
      <c r="G24" s="33"/>
      <c r="H24" s="33"/>
      <c r="I24" s="33"/>
      <c r="J24" s="10">
        <f t="shared" si="7"/>
        <v>20000</v>
      </c>
      <c r="K24" s="6"/>
      <c r="L24" s="6"/>
      <c r="M24" s="34"/>
      <c r="N24" s="6"/>
      <c r="O24" s="10">
        <f t="shared" si="8"/>
        <v>0</v>
      </c>
      <c r="P24" s="22">
        <f t="shared" si="9"/>
        <v>20000</v>
      </c>
      <c r="Q24" s="18">
        <f t="shared" si="10"/>
        <v>600</v>
      </c>
      <c r="R24" s="23">
        <f t="shared" si="11"/>
        <v>19400</v>
      </c>
      <c r="S24" s="59"/>
    </row>
    <row r="25" spans="1:19" x14ac:dyDescent="0.2">
      <c r="A25" s="52"/>
      <c r="B25" s="6">
        <v>6</v>
      </c>
      <c r="C25" s="7" t="s">
        <v>41</v>
      </c>
      <c r="D25" s="8"/>
      <c r="E25" s="8"/>
      <c r="F25" s="8"/>
      <c r="G25" s="8"/>
      <c r="H25" s="8"/>
      <c r="I25" s="8"/>
      <c r="J25" s="10">
        <f>+SUM(D25:I25)</f>
        <v>0</v>
      </c>
      <c r="K25" s="8">
        <v>7472.62</v>
      </c>
      <c r="L25" s="8"/>
      <c r="M25" s="8"/>
      <c r="N25" s="8"/>
      <c r="O25" s="10">
        <f>+SUM(K25:N25)</f>
        <v>7472.62</v>
      </c>
      <c r="P25" s="22">
        <f>+J25+O25</f>
        <v>7472.62</v>
      </c>
      <c r="Q25" s="18">
        <f>IF(P25 &lt; 1000, 0, P25 * 3%)</f>
        <v>224.17859999999999</v>
      </c>
      <c r="R25" s="23">
        <f>+P25-Q25</f>
        <v>7248.4413999999997</v>
      </c>
      <c r="S25" s="44">
        <v>244444</v>
      </c>
    </row>
    <row r="26" spans="1:19" x14ac:dyDescent="0.2">
      <c r="A26" s="52"/>
      <c r="B26" s="6">
        <v>7</v>
      </c>
      <c r="C26" s="7" t="s">
        <v>42</v>
      </c>
      <c r="D26" s="8"/>
      <c r="E26" s="8"/>
      <c r="F26" s="8"/>
      <c r="G26" s="8"/>
      <c r="H26" s="8"/>
      <c r="I26" s="8"/>
      <c r="J26" s="10">
        <f t="shared" ref="J26:J29" si="12">+SUM(D26:I26)</f>
        <v>0</v>
      </c>
      <c r="K26" s="8">
        <v>1494.52</v>
      </c>
      <c r="L26" s="8"/>
      <c r="M26" s="8"/>
      <c r="N26" s="8"/>
      <c r="O26" s="10">
        <f t="shared" ref="O26:O29" si="13">+SUM(K26:N26)</f>
        <v>1494.52</v>
      </c>
      <c r="P26" s="22">
        <f t="shared" ref="P26:P29" si="14">+J26+O26</f>
        <v>1494.52</v>
      </c>
      <c r="Q26" s="18">
        <f t="shared" ref="Q26:Q29" si="15">IF(P26 &lt; 1000, 0, P26 * 3%)</f>
        <v>44.835599999999999</v>
      </c>
      <c r="R26" s="23">
        <f t="shared" ref="R26:R29" si="16">+P26-Q26</f>
        <v>1449.6844000000001</v>
      </c>
      <c r="S26" s="45"/>
    </row>
    <row r="27" spans="1:19" x14ac:dyDescent="0.2">
      <c r="A27" s="52"/>
      <c r="B27" s="6">
        <v>9</v>
      </c>
      <c r="C27" s="7" t="s">
        <v>81</v>
      </c>
      <c r="D27" s="8"/>
      <c r="E27" s="8"/>
      <c r="F27" s="8"/>
      <c r="G27" s="8"/>
      <c r="H27" s="8"/>
      <c r="I27" s="8"/>
      <c r="J27" s="10">
        <f>+SUM(D27:I27)</f>
        <v>0</v>
      </c>
      <c r="K27" s="8">
        <v>166.06</v>
      </c>
      <c r="L27" s="8"/>
      <c r="M27" s="8"/>
      <c r="N27" s="8"/>
      <c r="O27" s="10">
        <f t="shared" ref="O27" si="17">+SUM(K27:N27)</f>
        <v>166.06</v>
      </c>
      <c r="P27" s="22">
        <f>+J27+O27</f>
        <v>166.06</v>
      </c>
      <c r="Q27" s="18">
        <f t="shared" si="15"/>
        <v>0</v>
      </c>
      <c r="R27" s="23">
        <f t="shared" ref="R27" si="18">+P27-Q27</f>
        <v>166.06</v>
      </c>
      <c r="S27" s="45"/>
    </row>
    <row r="28" spans="1:19" x14ac:dyDescent="0.2">
      <c r="A28" s="52"/>
      <c r="B28" s="6">
        <v>10</v>
      </c>
      <c r="C28" s="7" t="s">
        <v>34</v>
      </c>
      <c r="D28" s="8"/>
      <c r="E28" s="8"/>
      <c r="F28" s="8"/>
      <c r="G28" s="8"/>
      <c r="H28" s="8"/>
      <c r="I28" s="8"/>
      <c r="J28" s="10">
        <f>+SUM(D28:I28)</f>
        <v>0</v>
      </c>
      <c r="K28" s="8">
        <v>166.06</v>
      </c>
      <c r="L28" s="8"/>
      <c r="M28" s="8"/>
      <c r="N28" s="8"/>
      <c r="O28" s="10">
        <f t="shared" ref="O28" si="19">+SUM(K28:N28)</f>
        <v>166.06</v>
      </c>
      <c r="P28" s="22">
        <f>+J28+O28</f>
        <v>166.06</v>
      </c>
      <c r="Q28" s="18">
        <f t="shared" si="15"/>
        <v>0</v>
      </c>
      <c r="R28" s="23">
        <f t="shared" ref="R28" si="20">+P28-Q28</f>
        <v>166.06</v>
      </c>
      <c r="S28" s="54"/>
    </row>
    <row r="29" spans="1:19" x14ac:dyDescent="0.2">
      <c r="A29" s="52"/>
      <c r="B29" s="6">
        <v>11</v>
      </c>
      <c r="C29" s="7" t="s">
        <v>42</v>
      </c>
      <c r="D29" s="8">
        <v>8000</v>
      </c>
      <c r="E29" s="8"/>
      <c r="F29" s="8"/>
      <c r="G29" s="8"/>
      <c r="H29" s="8"/>
      <c r="I29" s="8"/>
      <c r="J29" s="10">
        <f t="shared" si="12"/>
        <v>8000</v>
      </c>
      <c r="K29" s="8"/>
      <c r="L29" s="8"/>
      <c r="M29" s="8"/>
      <c r="N29" s="8"/>
      <c r="O29" s="10">
        <f t="shared" si="13"/>
        <v>0</v>
      </c>
      <c r="P29" s="22">
        <f t="shared" si="14"/>
        <v>8000</v>
      </c>
      <c r="Q29" s="18">
        <f t="shared" si="15"/>
        <v>240</v>
      </c>
      <c r="R29" s="23">
        <f t="shared" si="16"/>
        <v>7760</v>
      </c>
      <c r="S29" s="31">
        <v>244469</v>
      </c>
    </row>
    <row r="30" spans="1:19" x14ac:dyDescent="0.2">
      <c r="A30" s="41" t="s">
        <v>39</v>
      </c>
      <c r="B30" s="41"/>
      <c r="C30" s="41"/>
      <c r="D30" s="15">
        <f t="shared" ref="D30:R30" si="21">+SUM(D20:D29)</f>
        <v>218000</v>
      </c>
      <c r="E30" s="15">
        <f t="shared" si="21"/>
        <v>0</v>
      </c>
      <c r="F30" s="15">
        <f t="shared" si="21"/>
        <v>0</v>
      </c>
      <c r="G30" s="15">
        <f t="shared" si="21"/>
        <v>0</v>
      </c>
      <c r="H30" s="15">
        <f t="shared" si="21"/>
        <v>0</v>
      </c>
      <c r="I30" s="15">
        <f t="shared" si="21"/>
        <v>0</v>
      </c>
      <c r="J30" s="15">
        <f t="shared" si="21"/>
        <v>218000</v>
      </c>
      <c r="K30" s="15">
        <f t="shared" si="21"/>
        <v>9299.2599999999984</v>
      </c>
      <c r="L30" s="15">
        <f t="shared" si="21"/>
        <v>0</v>
      </c>
      <c r="M30" s="15">
        <f t="shared" si="21"/>
        <v>0</v>
      </c>
      <c r="N30" s="15">
        <f t="shared" si="21"/>
        <v>0</v>
      </c>
      <c r="O30" s="15">
        <f t="shared" si="21"/>
        <v>9299.2599999999984</v>
      </c>
      <c r="P30" s="15">
        <f t="shared" si="21"/>
        <v>227299.25999999998</v>
      </c>
      <c r="Q30" s="15">
        <f t="shared" si="21"/>
        <v>6809.0142000000005</v>
      </c>
      <c r="R30" s="15">
        <f t="shared" si="21"/>
        <v>220490.2458</v>
      </c>
      <c r="S30" s="15"/>
    </row>
    <row r="32" spans="1:19" x14ac:dyDescent="0.2">
      <c r="A32" s="52" t="s">
        <v>24</v>
      </c>
      <c r="B32" s="30" t="s">
        <v>5</v>
      </c>
      <c r="C32" s="30" t="s">
        <v>6</v>
      </c>
      <c r="D32" s="30" t="s">
        <v>11</v>
      </c>
      <c r="E32" s="30" t="s">
        <v>20</v>
      </c>
      <c r="F32" s="30" t="s">
        <v>23</v>
      </c>
    </row>
    <row r="33" spans="1:6" x14ac:dyDescent="0.2">
      <c r="A33" s="52"/>
      <c r="B33" s="6">
        <v>1</v>
      </c>
      <c r="C33" s="7" t="s">
        <v>54</v>
      </c>
      <c r="D33" s="28">
        <v>130000</v>
      </c>
      <c r="E33" s="29">
        <v>17916.669999999998</v>
      </c>
      <c r="F33" s="13">
        <f>+D33-E33</f>
        <v>112083.33</v>
      </c>
    </row>
    <row r="34" spans="1:6" x14ac:dyDescent="0.2">
      <c r="A34" s="52"/>
      <c r="B34" s="6"/>
      <c r="C34" s="7"/>
      <c r="D34" s="28"/>
      <c r="E34" s="29"/>
      <c r="F34" s="13">
        <f>+D34-E34</f>
        <v>0</v>
      </c>
    </row>
    <row r="35" spans="1:6" x14ac:dyDescent="0.2">
      <c r="A35" s="41" t="s">
        <v>38</v>
      </c>
      <c r="B35" s="41"/>
      <c r="C35" s="41"/>
      <c r="D35" s="19">
        <f>+SUM(D33:D34)</f>
        <v>130000</v>
      </c>
      <c r="E35" s="20">
        <f t="shared" ref="E35:F35" si="22">+SUM(E33:E34)</f>
        <v>17916.669999999998</v>
      </c>
      <c r="F35" s="21">
        <f t="shared" si="22"/>
        <v>112083.33</v>
      </c>
    </row>
  </sheetData>
  <mergeCells count="31">
    <mergeCell ref="A18:A29"/>
    <mergeCell ref="B18:B19"/>
    <mergeCell ref="C18:C19"/>
    <mergeCell ref="D18:I18"/>
    <mergeCell ref="J18:J19"/>
    <mergeCell ref="O18:O19"/>
    <mergeCell ref="P18:P19"/>
    <mergeCell ref="Q18:Q19"/>
    <mergeCell ref="R18:R19"/>
    <mergeCell ref="S18:S19"/>
    <mergeCell ref="T5:T6"/>
    <mergeCell ref="U5:U6"/>
    <mergeCell ref="A16:C16"/>
    <mergeCell ref="A32:A34"/>
    <mergeCell ref="A35:C35"/>
    <mergeCell ref="D5:I5"/>
    <mergeCell ref="J5:J6"/>
    <mergeCell ref="K5:N5"/>
    <mergeCell ref="O5:O6"/>
    <mergeCell ref="P5:P6"/>
    <mergeCell ref="Q5:S5"/>
    <mergeCell ref="C5:C6"/>
    <mergeCell ref="S20:S24"/>
    <mergeCell ref="A30:C30"/>
    <mergeCell ref="S25:S28"/>
    <mergeCell ref="K18:N18"/>
    <mergeCell ref="A1:B1"/>
    <mergeCell ref="A2:B2"/>
    <mergeCell ref="A3:B3"/>
    <mergeCell ref="A5:A15"/>
    <mergeCell ref="B5:B6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2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21</xdr:col>
                    <xdr:colOff>209550</xdr:colOff>
                    <xdr:row>6</xdr:row>
                    <xdr:rowOff>19050</xdr:rowOff>
                  </from>
                  <to>
                    <xdr:col>21</xdr:col>
                    <xdr:colOff>638175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21</xdr:col>
                    <xdr:colOff>209550</xdr:colOff>
                    <xdr:row>6</xdr:row>
                    <xdr:rowOff>19050</xdr:rowOff>
                  </from>
                  <to>
                    <xdr:col>21</xdr:col>
                    <xdr:colOff>638175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21</xdr:col>
                    <xdr:colOff>209550</xdr:colOff>
                    <xdr:row>7</xdr:row>
                    <xdr:rowOff>19050</xdr:rowOff>
                  </from>
                  <to>
                    <xdr:col>21</xdr:col>
                    <xdr:colOff>638175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21</xdr:col>
                    <xdr:colOff>209550</xdr:colOff>
                    <xdr:row>7</xdr:row>
                    <xdr:rowOff>19050</xdr:rowOff>
                  </from>
                  <to>
                    <xdr:col>21</xdr:col>
                    <xdr:colOff>638175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21</xdr:col>
                    <xdr:colOff>209550</xdr:colOff>
                    <xdr:row>8</xdr:row>
                    <xdr:rowOff>19050</xdr:rowOff>
                  </from>
                  <to>
                    <xdr:col>21</xdr:col>
                    <xdr:colOff>638175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21</xdr:col>
                    <xdr:colOff>209550</xdr:colOff>
                    <xdr:row>8</xdr:row>
                    <xdr:rowOff>19050</xdr:rowOff>
                  </from>
                  <to>
                    <xdr:col>21</xdr:col>
                    <xdr:colOff>638175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21</xdr:col>
                    <xdr:colOff>209550</xdr:colOff>
                    <xdr:row>9</xdr:row>
                    <xdr:rowOff>19050</xdr:rowOff>
                  </from>
                  <to>
                    <xdr:col>21</xdr:col>
                    <xdr:colOff>638175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>
                <anchor moveWithCells="1">
                  <from>
                    <xdr:col>21</xdr:col>
                    <xdr:colOff>209550</xdr:colOff>
                    <xdr:row>9</xdr:row>
                    <xdr:rowOff>19050</xdr:rowOff>
                  </from>
                  <to>
                    <xdr:col>21</xdr:col>
                    <xdr:colOff>638175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>
                <anchor moveWithCells="1">
                  <from>
                    <xdr:col>21</xdr:col>
                    <xdr:colOff>209550</xdr:colOff>
                    <xdr:row>10</xdr:row>
                    <xdr:rowOff>19050</xdr:rowOff>
                  </from>
                  <to>
                    <xdr:col>21</xdr:col>
                    <xdr:colOff>638175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>
                <anchor moveWithCells="1">
                  <from>
                    <xdr:col>21</xdr:col>
                    <xdr:colOff>209550</xdr:colOff>
                    <xdr:row>10</xdr:row>
                    <xdr:rowOff>19050</xdr:rowOff>
                  </from>
                  <to>
                    <xdr:col>21</xdr:col>
                    <xdr:colOff>638175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Check Box 11">
              <controlPr defaultSize="0" autoFill="0" autoLine="0" autoPict="0">
                <anchor moveWithCells="1">
                  <from>
                    <xdr:col>21</xdr:col>
                    <xdr:colOff>209550</xdr:colOff>
                    <xdr:row>11</xdr:row>
                    <xdr:rowOff>19050</xdr:rowOff>
                  </from>
                  <to>
                    <xdr:col>21</xdr:col>
                    <xdr:colOff>638175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Check Box 12">
              <controlPr defaultSize="0" autoFill="0" autoLine="0" autoPict="0">
                <anchor moveWithCells="1">
                  <from>
                    <xdr:col>21</xdr:col>
                    <xdr:colOff>209550</xdr:colOff>
                    <xdr:row>11</xdr:row>
                    <xdr:rowOff>19050</xdr:rowOff>
                  </from>
                  <to>
                    <xdr:col>21</xdr:col>
                    <xdr:colOff>638175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Check Box 13">
              <controlPr defaultSize="0" autoFill="0" autoLine="0" autoPict="0">
                <anchor moveWithCells="1">
                  <from>
                    <xdr:col>21</xdr:col>
                    <xdr:colOff>209550</xdr:colOff>
                    <xdr:row>12</xdr:row>
                    <xdr:rowOff>19050</xdr:rowOff>
                  </from>
                  <to>
                    <xdr:col>21</xdr:col>
                    <xdr:colOff>638175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Check Box 14">
              <controlPr defaultSize="0" autoFill="0" autoLine="0" autoPict="0">
                <anchor moveWithCells="1">
                  <from>
                    <xdr:col>21</xdr:col>
                    <xdr:colOff>209550</xdr:colOff>
                    <xdr:row>12</xdr:row>
                    <xdr:rowOff>19050</xdr:rowOff>
                  </from>
                  <to>
                    <xdr:col>21</xdr:col>
                    <xdr:colOff>638175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Check Box 15">
              <controlPr defaultSize="0" autoFill="0" autoLine="0" autoPict="0">
                <anchor moveWithCells="1">
                  <from>
                    <xdr:col>21</xdr:col>
                    <xdr:colOff>209550</xdr:colOff>
                    <xdr:row>13</xdr:row>
                    <xdr:rowOff>19050</xdr:rowOff>
                  </from>
                  <to>
                    <xdr:col>21</xdr:col>
                    <xdr:colOff>638175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Check Box 16">
              <controlPr defaultSize="0" autoFill="0" autoLine="0" autoPict="0">
                <anchor moveWithCells="1">
                  <from>
                    <xdr:col>21</xdr:col>
                    <xdr:colOff>209550</xdr:colOff>
                    <xdr:row>13</xdr:row>
                    <xdr:rowOff>19050</xdr:rowOff>
                  </from>
                  <to>
                    <xdr:col>21</xdr:col>
                    <xdr:colOff>638175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Check Box 17">
              <controlPr defaultSize="0" autoFill="0" autoLine="0" autoPict="0">
                <anchor moveWithCells="1">
                  <from>
                    <xdr:col>21</xdr:col>
                    <xdr:colOff>209550</xdr:colOff>
                    <xdr:row>14</xdr:row>
                    <xdr:rowOff>19050</xdr:rowOff>
                  </from>
                  <to>
                    <xdr:col>21</xdr:col>
                    <xdr:colOff>638175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Check Box 18">
              <controlPr defaultSize="0" autoFill="0" autoLine="0" autoPict="0">
                <anchor moveWithCells="1">
                  <from>
                    <xdr:col>21</xdr:col>
                    <xdr:colOff>209550</xdr:colOff>
                    <xdr:row>14</xdr:row>
                    <xdr:rowOff>19050</xdr:rowOff>
                  </from>
                  <to>
                    <xdr:col>21</xdr:col>
                    <xdr:colOff>638175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2" name="Check Box 21">
              <controlPr defaultSize="0" autoFill="0" autoLine="0" autoPict="0">
                <anchor moveWithCells="1">
                  <from>
                    <xdr:col>19</xdr:col>
                    <xdr:colOff>209550</xdr:colOff>
                    <xdr:row>19</xdr:row>
                    <xdr:rowOff>19050</xdr:rowOff>
                  </from>
                  <to>
                    <xdr:col>19</xdr:col>
                    <xdr:colOff>638175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3" name="Check Box 22">
              <controlPr defaultSize="0" autoFill="0" autoLine="0" autoPict="0">
                <anchor moveWithCells="1">
                  <from>
                    <xdr:col>19</xdr:col>
                    <xdr:colOff>209550</xdr:colOff>
                    <xdr:row>19</xdr:row>
                    <xdr:rowOff>19050</xdr:rowOff>
                  </from>
                  <to>
                    <xdr:col>19</xdr:col>
                    <xdr:colOff>638175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4" name="Check Box 23">
              <controlPr defaultSize="0" autoFill="0" autoLine="0" autoPict="0">
                <anchor moveWithCells="1">
                  <from>
                    <xdr:col>19</xdr:col>
                    <xdr:colOff>209550</xdr:colOff>
                    <xdr:row>20</xdr:row>
                    <xdr:rowOff>19050</xdr:rowOff>
                  </from>
                  <to>
                    <xdr:col>19</xdr:col>
                    <xdr:colOff>638175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5" name="Check Box 24">
              <controlPr defaultSize="0" autoFill="0" autoLine="0" autoPict="0">
                <anchor moveWithCells="1">
                  <from>
                    <xdr:col>19</xdr:col>
                    <xdr:colOff>209550</xdr:colOff>
                    <xdr:row>20</xdr:row>
                    <xdr:rowOff>19050</xdr:rowOff>
                  </from>
                  <to>
                    <xdr:col>19</xdr:col>
                    <xdr:colOff>638175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6" name="Check Box 25">
              <controlPr defaultSize="0" autoFill="0" autoLine="0" autoPict="0">
                <anchor moveWithCells="1">
                  <from>
                    <xdr:col>19</xdr:col>
                    <xdr:colOff>209550</xdr:colOff>
                    <xdr:row>21</xdr:row>
                    <xdr:rowOff>19050</xdr:rowOff>
                  </from>
                  <to>
                    <xdr:col>19</xdr:col>
                    <xdr:colOff>638175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7" name="Check Box 26">
              <controlPr defaultSize="0" autoFill="0" autoLine="0" autoPict="0">
                <anchor moveWithCells="1">
                  <from>
                    <xdr:col>19</xdr:col>
                    <xdr:colOff>209550</xdr:colOff>
                    <xdr:row>21</xdr:row>
                    <xdr:rowOff>19050</xdr:rowOff>
                  </from>
                  <to>
                    <xdr:col>19</xdr:col>
                    <xdr:colOff>638175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28" name="Check Box 27">
              <controlPr defaultSize="0" autoFill="0" autoLine="0" autoPict="0">
                <anchor moveWithCells="1">
                  <from>
                    <xdr:col>19</xdr:col>
                    <xdr:colOff>209550</xdr:colOff>
                    <xdr:row>22</xdr:row>
                    <xdr:rowOff>19050</xdr:rowOff>
                  </from>
                  <to>
                    <xdr:col>19</xdr:col>
                    <xdr:colOff>638175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29" name="Check Box 28">
              <controlPr defaultSize="0" autoFill="0" autoLine="0" autoPict="0">
                <anchor moveWithCells="1">
                  <from>
                    <xdr:col>19</xdr:col>
                    <xdr:colOff>209550</xdr:colOff>
                    <xdr:row>22</xdr:row>
                    <xdr:rowOff>19050</xdr:rowOff>
                  </from>
                  <to>
                    <xdr:col>19</xdr:col>
                    <xdr:colOff>638175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0" name="Check Box 29">
              <controlPr defaultSize="0" autoFill="0" autoLine="0" autoPict="0">
                <anchor moveWithCells="1">
                  <from>
                    <xdr:col>19</xdr:col>
                    <xdr:colOff>209550</xdr:colOff>
                    <xdr:row>23</xdr:row>
                    <xdr:rowOff>19050</xdr:rowOff>
                  </from>
                  <to>
                    <xdr:col>19</xdr:col>
                    <xdr:colOff>638175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1" name="Check Box 30">
              <controlPr defaultSize="0" autoFill="0" autoLine="0" autoPict="0">
                <anchor moveWithCells="1">
                  <from>
                    <xdr:col>19</xdr:col>
                    <xdr:colOff>209550</xdr:colOff>
                    <xdr:row>23</xdr:row>
                    <xdr:rowOff>19050</xdr:rowOff>
                  </from>
                  <to>
                    <xdr:col>19</xdr:col>
                    <xdr:colOff>638175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2" name="Check Box 31">
              <controlPr defaultSize="0" autoFill="0" autoLine="0" autoPict="0">
                <anchor moveWithCells="1">
                  <from>
                    <xdr:col>19</xdr:col>
                    <xdr:colOff>209550</xdr:colOff>
                    <xdr:row>24</xdr:row>
                    <xdr:rowOff>19050</xdr:rowOff>
                  </from>
                  <to>
                    <xdr:col>19</xdr:col>
                    <xdr:colOff>638175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3" name="Check Box 32">
              <controlPr defaultSize="0" autoFill="0" autoLine="0" autoPict="0">
                <anchor moveWithCells="1">
                  <from>
                    <xdr:col>19</xdr:col>
                    <xdr:colOff>209550</xdr:colOff>
                    <xdr:row>24</xdr:row>
                    <xdr:rowOff>19050</xdr:rowOff>
                  </from>
                  <to>
                    <xdr:col>19</xdr:col>
                    <xdr:colOff>638175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4" name="Check Box 33">
              <controlPr defaultSize="0" autoFill="0" autoLine="0" autoPict="0">
                <anchor moveWithCells="1">
                  <from>
                    <xdr:col>19</xdr:col>
                    <xdr:colOff>209550</xdr:colOff>
                    <xdr:row>25</xdr:row>
                    <xdr:rowOff>19050</xdr:rowOff>
                  </from>
                  <to>
                    <xdr:col>19</xdr:col>
                    <xdr:colOff>638175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35" name="Check Box 34">
              <controlPr defaultSize="0" autoFill="0" autoLine="0" autoPict="0">
                <anchor moveWithCells="1">
                  <from>
                    <xdr:col>19</xdr:col>
                    <xdr:colOff>209550</xdr:colOff>
                    <xdr:row>25</xdr:row>
                    <xdr:rowOff>19050</xdr:rowOff>
                  </from>
                  <to>
                    <xdr:col>19</xdr:col>
                    <xdr:colOff>638175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36" name="Check Box 35">
              <controlPr defaultSize="0" autoFill="0" autoLine="0" autoPict="0">
                <anchor moveWithCells="1">
                  <from>
                    <xdr:col>19</xdr:col>
                    <xdr:colOff>209550</xdr:colOff>
                    <xdr:row>26</xdr:row>
                    <xdr:rowOff>0</xdr:rowOff>
                  </from>
                  <to>
                    <xdr:col>19</xdr:col>
                    <xdr:colOff>638175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37" name="Check Box 36">
              <controlPr defaultSize="0" autoFill="0" autoLine="0" autoPict="0">
                <anchor moveWithCells="1">
                  <from>
                    <xdr:col>19</xdr:col>
                    <xdr:colOff>209550</xdr:colOff>
                    <xdr:row>26</xdr:row>
                    <xdr:rowOff>0</xdr:rowOff>
                  </from>
                  <to>
                    <xdr:col>19</xdr:col>
                    <xdr:colOff>638175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38" name="Check Box 40">
              <controlPr defaultSize="0" autoFill="0" autoLine="0" autoPict="0">
                <anchor moveWithCells="1">
                  <from>
                    <xdr:col>19</xdr:col>
                    <xdr:colOff>209550</xdr:colOff>
                    <xdr:row>26</xdr:row>
                    <xdr:rowOff>257175</xdr:rowOff>
                  </from>
                  <to>
                    <xdr:col>19</xdr:col>
                    <xdr:colOff>638175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39" name="Check Box 41">
              <controlPr defaultSize="0" autoFill="0" autoLine="0" autoPict="0">
                <anchor moveWithCells="1">
                  <from>
                    <xdr:col>19</xdr:col>
                    <xdr:colOff>209550</xdr:colOff>
                    <xdr:row>28</xdr:row>
                    <xdr:rowOff>19050</xdr:rowOff>
                  </from>
                  <to>
                    <xdr:col>19</xdr:col>
                    <xdr:colOff>638175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40" name="Check Box 42">
              <controlPr defaultSize="0" autoFill="0" autoLine="0" autoPict="0">
                <anchor moveWithCells="1">
                  <from>
                    <xdr:col>19</xdr:col>
                    <xdr:colOff>209550</xdr:colOff>
                    <xdr:row>28</xdr:row>
                    <xdr:rowOff>19050</xdr:rowOff>
                  </from>
                  <to>
                    <xdr:col>19</xdr:col>
                    <xdr:colOff>638175</xdr:colOff>
                    <xdr:row>28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AFAB-E23C-4422-AA1E-C0BB09487B99}">
  <sheetPr codeName="Sheet1">
    <tabColor rgb="FFFFC000"/>
    <pageSetUpPr fitToPage="1"/>
  </sheetPr>
  <dimension ref="A1:U29"/>
  <sheetViews>
    <sheetView topLeftCell="B1" zoomScale="85" zoomScaleNormal="85" workbookViewId="0">
      <selection activeCell="Q11" sqref="Q11"/>
    </sheetView>
  </sheetViews>
  <sheetFormatPr defaultColWidth="9" defaultRowHeight="21" x14ac:dyDescent="0.2"/>
  <cols>
    <col min="1" max="1" width="17.375" style="2" bestFit="1" customWidth="1"/>
    <col min="2" max="2" width="6.375" style="2" customWidth="1"/>
    <col min="3" max="3" width="32.625" style="2" bestFit="1" customWidth="1"/>
    <col min="4" max="14" width="9.375" style="2" customWidth="1"/>
    <col min="15" max="15" width="10.375" style="2" customWidth="1"/>
    <col min="16" max="16" width="10.125" style="2" bestFit="1" customWidth="1"/>
    <col min="17" max="18" width="9.375" style="2" customWidth="1"/>
    <col min="19" max="19" width="9.625" style="2" customWidth="1"/>
    <col min="20" max="20" width="9.375" style="2" customWidth="1"/>
    <col min="21" max="21" width="10.375" style="2" bestFit="1" customWidth="1"/>
    <col min="22" max="16384" width="9" style="2"/>
  </cols>
  <sheetData>
    <row r="1" spans="1:21" x14ac:dyDescent="0.2">
      <c r="A1" s="38" t="s">
        <v>0</v>
      </c>
      <c r="B1" s="38"/>
      <c r="C1" s="1" t="s">
        <v>1</v>
      </c>
    </row>
    <row r="2" spans="1:21" x14ac:dyDescent="0.2">
      <c r="A2" s="38" t="s">
        <v>2</v>
      </c>
      <c r="B2" s="38"/>
      <c r="C2" s="3">
        <v>244444</v>
      </c>
    </row>
    <row r="3" spans="1:21" x14ac:dyDescent="0.2">
      <c r="A3" s="38" t="s">
        <v>3</v>
      </c>
      <c r="B3" s="38"/>
      <c r="C3" s="3">
        <v>244469</v>
      </c>
    </row>
    <row r="5" spans="1:21" x14ac:dyDescent="0.2">
      <c r="A5" s="52" t="s">
        <v>4</v>
      </c>
      <c r="B5" s="39" t="s">
        <v>5</v>
      </c>
      <c r="C5" s="39" t="s">
        <v>6</v>
      </c>
      <c r="D5" s="39" t="s">
        <v>21</v>
      </c>
      <c r="E5" s="39"/>
      <c r="F5" s="39"/>
      <c r="G5" s="39"/>
      <c r="H5" s="39"/>
      <c r="I5" s="39"/>
      <c r="J5" s="39" t="s">
        <v>11</v>
      </c>
      <c r="K5" s="39" t="s">
        <v>14</v>
      </c>
      <c r="L5" s="39"/>
      <c r="M5" s="39"/>
      <c r="N5" s="39"/>
      <c r="O5" s="40" t="s">
        <v>29</v>
      </c>
      <c r="P5" s="39" t="s">
        <v>18</v>
      </c>
      <c r="Q5" s="39" t="s">
        <v>19</v>
      </c>
      <c r="R5" s="39"/>
      <c r="S5" s="39"/>
      <c r="T5" s="40" t="s">
        <v>22</v>
      </c>
      <c r="U5" s="39" t="s">
        <v>23</v>
      </c>
    </row>
    <row r="6" spans="1:21" x14ac:dyDescent="0.2">
      <c r="A6" s="52"/>
      <c r="B6" s="39"/>
      <c r="C6" s="39"/>
      <c r="D6" s="5" t="s">
        <v>7</v>
      </c>
      <c r="E6" s="5" t="s">
        <v>8</v>
      </c>
      <c r="F6" s="5" t="s">
        <v>9</v>
      </c>
      <c r="G6" s="5" t="s">
        <v>10</v>
      </c>
      <c r="H6" s="5" t="s">
        <v>12</v>
      </c>
      <c r="I6" s="5" t="s">
        <v>13</v>
      </c>
      <c r="J6" s="39"/>
      <c r="K6" s="5" t="s">
        <v>15</v>
      </c>
      <c r="L6" s="5" t="s">
        <v>16</v>
      </c>
      <c r="M6" s="5" t="s">
        <v>43</v>
      </c>
      <c r="N6" s="5" t="s">
        <v>17</v>
      </c>
      <c r="O6" s="40"/>
      <c r="P6" s="39"/>
      <c r="Q6" s="5" t="s">
        <v>30</v>
      </c>
      <c r="R6" s="5" t="s">
        <v>31</v>
      </c>
      <c r="S6" s="5" t="s">
        <v>20</v>
      </c>
      <c r="T6" s="40"/>
      <c r="U6" s="39"/>
    </row>
    <row r="7" spans="1:21" x14ac:dyDescent="0.2">
      <c r="A7" s="52"/>
      <c r="B7" s="6">
        <v>1</v>
      </c>
      <c r="C7" s="7" t="s">
        <v>32</v>
      </c>
      <c r="D7" s="8">
        <v>15272.73</v>
      </c>
      <c r="E7" s="8">
        <v>5727.27</v>
      </c>
      <c r="F7" s="8">
        <v>2000</v>
      </c>
      <c r="G7" s="8"/>
      <c r="H7" s="8"/>
      <c r="I7" s="8"/>
      <c r="J7" s="9">
        <f>+SUM(D7:I7)</f>
        <v>23000</v>
      </c>
      <c r="K7" s="8">
        <v>6667.26</v>
      </c>
      <c r="L7" s="8"/>
      <c r="M7" s="8">
        <v>500</v>
      </c>
      <c r="N7" s="8">
        <v>47.73</v>
      </c>
      <c r="O7" s="10">
        <f>+SUM(K7:N7)</f>
        <v>7214.99</v>
      </c>
      <c r="P7" s="11">
        <f>+J7+O7</f>
        <v>30214.989999999998</v>
      </c>
      <c r="Q7" s="8">
        <f>ROUND(IF((J7+K7)&gt;17500, 875, (J7+K7)*5%), 0)</f>
        <v>875</v>
      </c>
      <c r="R7" s="8"/>
      <c r="S7" s="8"/>
      <c r="T7" s="12">
        <f>+SUM(Q7:S7)</f>
        <v>875</v>
      </c>
      <c r="U7" s="13">
        <f>+P7-T7</f>
        <v>29339.989999999998</v>
      </c>
    </row>
    <row r="8" spans="1:21" x14ac:dyDescent="0.2">
      <c r="A8" s="52"/>
      <c r="B8" s="6">
        <v>2</v>
      </c>
      <c r="C8" s="7" t="s">
        <v>33</v>
      </c>
      <c r="D8" s="8">
        <v>13090.91</v>
      </c>
      <c r="E8" s="8">
        <v>4909.09</v>
      </c>
      <c r="F8" s="8"/>
      <c r="G8" s="8"/>
      <c r="H8" s="8"/>
      <c r="I8" s="8"/>
      <c r="J8" s="9">
        <f t="shared" ref="J8:J11" si="0">+SUM(D8:I8)</f>
        <v>18000</v>
      </c>
      <c r="K8" s="8">
        <v>3111.39</v>
      </c>
      <c r="L8" s="8"/>
      <c r="M8" s="8"/>
      <c r="N8" s="8">
        <v>163.63999999999999</v>
      </c>
      <c r="O8" s="10">
        <f t="shared" ref="O8:O10" si="1">+SUM(K8:N8)</f>
        <v>3275.0299999999997</v>
      </c>
      <c r="P8" s="11">
        <f t="shared" ref="P8:P10" si="2">+J8+O8</f>
        <v>21275.03</v>
      </c>
      <c r="Q8" s="8">
        <f t="shared" ref="Q8:Q11" si="3">ROUND(IF((J8+K8)&gt;17500, 875, (J8+K8)*5%), 0)</f>
        <v>875</v>
      </c>
      <c r="R8" s="8"/>
      <c r="S8" s="8"/>
      <c r="T8" s="12">
        <f t="shared" ref="T8:T10" si="4">+SUM(Q8:S8)</f>
        <v>875</v>
      </c>
      <c r="U8" s="13">
        <f t="shared" ref="U8:U10" si="5">+P8-T8</f>
        <v>20400.03</v>
      </c>
    </row>
    <row r="9" spans="1:21" x14ac:dyDescent="0.2">
      <c r="A9" s="52"/>
      <c r="B9" s="6">
        <v>3</v>
      </c>
      <c r="C9" s="7" t="s">
        <v>34</v>
      </c>
      <c r="D9" s="8">
        <v>10909.09</v>
      </c>
      <c r="E9" s="8">
        <v>4090.91</v>
      </c>
      <c r="F9" s="8"/>
      <c r="G9" s="8"/>
      <c r="H9" s="8"/>
      <c r="I9" s="8"/>
      <c r="J9" s="9">
        <f t="shared" si="0"/>
        <v>15000</v>
      </c>
      <c r="K9" s="8">
        <v>3222.51</v>
      </c>
      <c r="L9" s="8"/>
      <c r="M9" s="8"/>
      <c r="N9" s="8"/>
      <c r="O9" s="10">
        <f t="shared" si="1"/>
        <v>3222.51</v>
      </c>
      <c r="P9" s="11">
        <f t="shared" si="2"/>
        <v>18222.510000000002</v>
      </c>
      <c r="Q9" s="8">
        <f t="shared" si="3"/>
        <v>875</v>
      </c>
      <c r="R9" s="8"/>
      <c r="S9" s="8"/>
      <c r="T9" s="12">
        <f t="shared" si="4"/>
        <v>875</v>
      </c>
      <c r="U9" s="13">
        <f t="shared" si="5"/>
        <v>17347.510000000002</v>
      </c>
    </row>
    <row r="10" spans="1:21" x14ac:dyDescent="0.2">
      <c r="A10" s="52"/>
      <c r="B10" s="6">
        <v>4</v>
      </c>
      <c r="C10" s="7" t="s">
        <v>35</v>
      </c>
      <c r="D10" s="8">
        <v>13090.91</v>
      </c>
      <c r="E10" s="8">
        <v>4909.09</v>
      </c>
      <c r="F10" s="8"/>
      <c r="G10" s="8"/>
      <c r="H10" s="8"/>
      <c r="I10" s="8"/>
      <c r="J10" s="9">
        <f t="shared" si="0"/>
        <v>18000</v>
      </c>
      <c r="K10" s="8">
        <v>3111.39</v>
      </c>
      <c r="L10" s="8"/>
      <c r="M10" s="8"/>
      <c r="N10" s="8"/>
      <c r="O10" s="10">
        <f t="shared" si="1"/>
        <v>3111.39</v>
      </c>
      <c r="P10" s="11">
        <f t="shared" si="2"/>
        <v>21111.39</v>
      </c>
      <c r="Q10" s="8">
        <f t="shared" si="3"/>
        <v>875</v>
      </c>
      <c r="R10" s="8"/>
      <c r="S10" s="8"/>
      <c r="T10" s="12">
        <f t="shared" si="4"/>
        <v>875</v>
      </c>
      <c r="U10" s="13">
        <f t="shared" si="5"/>
        <v>20236.39</v>
      </c>
    </row>
    <row r="11" spans="1:21" x14ac:dyDescent="0.2">
      <c r="A11" s="52"/>
      <c r="B11" s="6">
        <v>5</v>
      </c>
      <c r="C11" s="7" t="s">
        <v>36</v>
      </c>
      <c r="D11" s="8">
        <v>11636.36</v>
      </c>
      <c r="E11" s="8">
        <v>4363.6400000000003</v>
      </c>
      <c r="F11" s="8"/>
      <c r="G11" s="8"/>
      <c r="H11" s="8"/>
      <c r="I11" s="8"/>
      <c r="J11" s="9">
        <f t="shared" si="0"/>
        <v>16000</v>
      </c>
      <c r="K11" s="8">
        <v>3222.51</v>
      </c>
      <c r="L11" s="8"/>
      <c r="M11" s="8"/>
      <c r="N11" s="8">
        <v>72.73</v>
      </c>
      <c r="O11" s="10">
        <f t="shared" ref="O11" si="6">+SUM(K11:N11)</f>
        <v>3295.2400000000002</v>
      </c>
      <c r="P11" s="11">
        <f t="shared" ref="P11" si="7">+J11+O11</f>
        <v>19295.240000000002</v>
      </c>
      <c r="Q11" s="8">
        <f t="shared" si="3"/>
        <v>875</v>
      </c>
      <c r="R11" s="8"/>
      <c r="S11" s="8"/>
      <c r="T11" s="12">
        <f t="shared" ref="T11" si="8">+SUM(Q11:S11)</f>
        <v>875</v>
      </c>
      <c r="U11" s="13">
        <f t="shared" ref="U11" si="9">+P11-T11</f>
        <v>18420.240000000002</v>
      </c>
    </row>
    <row r="12" spans="1:21" x14ac:dyDescent="0.2">
      <c r="A12" s="41" t="s">
        <v>37</v>
      </c>
      <c r="B12" s="41"/>
      <c r="C12" s="41"/>
      <c r="D12" s="14">
        <f>+SUM(D7:D11)</f>
        <v>64000</v>
      </c>
      <c r="E12" s="14">
        <f t="shared" ref="E12:T12" si="10">+SUM(E7:E11)</f>
        <v>24000</v>
      </c>
      <c r="F12" s="14">
        <f t="shared" si="10"/>
        <v>2000</v>
      </c>
      <c r="G12" s="14">
        <f t="shared" si="10"/>
        <v>0</v>
      </c>
      <c r="H12" s="14">
        <f t="shared" si="10"/>
        <v>0</v>
      </c>
      <c r="I12" s="14">
        <f t="shared" si="10"/>
        <v>0</v>
      </c>
      <c r="J12" s="14">
        <f t="shared" si="10"/>
        <v>90000</v>
      </c>
      <c r="K12" s="14">
        <f t="shared" si="10"/>
        <v>19335.059999999998</v>
      </c>
      <c r="L12" s="14">
        <f t="shared" si="10"/>
        <v>0</v>
      </c>
      <c r="M12" s="14">
        <f t="shared" si="10"/>
        <v>500</v>
      </c>
      <c r="N12" s="14">
        <f t="shared" si="10"/>
        <v>284.09999999999997</v>
      </c>
      <c r="O12" s="14">
        <f t="shared" si="10"/>
        <v>20119.160000000003</v>
      </c>
      <c r="P12" s="14">
        <f t="shared" si="10"/>
        <v>110119.16</v>
      </c>
      <c r="Q12" s="14">
        <f t="shared" si="10"/>
        <v>4375</v>
      </c>
      <c r="R12" s="14">
        <f t="shared" si="10"/>
        <v>0</v>
      </c>
      <c r="S12" s="14">
        <f t="shared" si="10"/>
        <v>0</v>
      </c>
      <c r="T12" s="14">
        <f t="shared" si="10"/>
        <v>4375</v>
      </c>
      <c r="U12" s="14">
        <f>+SUM(U7:U11)</f>
        <v>105744.16</v>
      </c>
    </row>
    <row r="14" spans="1:21" x14ac:dyDescent="0.2">
      <c r="A14" s="52" t="s">
        <v>25</v>
      </c>
      <c r="B14" s="46" t="s">
        <v>5</v>
      </c>
      <c r="C14" s="46" t="s">
        <v>6</v>
      </c>
      <c r="D14" s="46" t="s">
        <v>21</v>
      </c>
      <c r="E14" s="46"/>
      <c r="F14" s="46"/>
      <c r="G14" s="46"/>
      <c r="H14" s="46"/>
      <c r="I14" s="46"/>
      <c r="J14" s="46" t="s">
        <v>11</v>
      </c>
      <c r="K14" s="46" t="s">
        <v>14</v>
      </c>
      <c r="L14" s="46"/>
      <c r="M14" s="46"/>
      <c r="N14" s="46"/>
      <c r="O14" s="47" t="s">
        <v>29</v>
      </c>
      <c r="P14" s="46" t="s">
        <v>18</v>
      </c>
      <c r="Q14" s="46" t="s">
        <v>26</v>
      </c>
      <c r="R14" s="46" t="s">
        <v>23</v>
      </c>
      <c r="S14" s="46" t="s">
        <v>40</v>
      </c>
    </row>
    <row r="15" spans="1:21" x14ac:dyDescent="0.2">
      <c r="A15" s="52"/>
      <c r="B15" s="46"/>
      <c r="C15" s="46"/>
      <c r="D15" s="17" t="s">
        <v>55</v>
      </c>
      <c r="E15" s="17" t="s">
        <v>8</v>
      </c>
      <c r="F15" s="17" t="s">
        <v>9</v>
      </c>
      <c r="G15" s="17" t="s">
        <v>10</v>
      </c>
      <c r="H15" s="17" t="s">
        <v>12</v>
      </c>
      <c r="I15" s="17" t="s">
        <v>13</v>
      </c>
      <c r="J15" s="46"/>
      <c r="K15" s="17" t="s">
        <v>15</v>
      </c>
      <c r="L15" s="17" t="s">
        <v>16</v>
      </c>
      <c r="M15" s="5" t="s">
        <v>43</v>
      </c>
      <c r="N15" s="17" t="s">
        <v>17</v>
      </c>
      <c r="O15" s="47"/>
      <c r="P15" s="46"/>
      <c r="Q15" s="46"/>
      <c r="R15" s="46"/>
      <c r="S15" s="46"/>
    </row>
    <row r="16" spans="1:21" x14ac:dyDescent="0.2">
      <c r="A16" s="52"/>
      <c r="B16" s="6">
        <v>1</v>
      </c>
      <c r="C16" s="32" t="s">
        <v>150</v>
      </c>
      <c r="D16" s="33">
        <v>30000</v>
      </c>
      <c r="E16" s="33"/>
      <c r="F16" s="33"/>
      <c r="G16" s="33"/>
      <c r="H16" s="33"/>
      <c r="I16" s="33"/>
      <c r="J16" s="10">
        <f t="shared" ref="J16:J19" si="11">+SUM(D16:I16)</f>
        <v>30000</v>
      </c>
      <c r="K16" s="8"/>
      <c r="L16" s="8"/>
      <c r="M16" s="8"/>
      <c r="N16" s="8"/>
      <c r="O16" s="10">
        <f t="shared" ref="O16:O19" si="12">+SUM(K16:N16)</f>
        <v>0</v>
      </c>
      <c r="P16" s="22">
        <f t="shared" ref="P16:P19" si="13">+J16+O16</f>
        <v>30000</v>
      </c>
      <c r="Q16" s="18">
        <f t="shared" ref="Q16:Q19" si="14">IF(P16 &lt; 1000, 0, P16 * 3%)</f>
        <v>900</v>
      </c>
      <c r="R16" s="23">
        <f t="shared" ref="R16:R19" si="15">+P16-Q16</f>
        <v>29100</v>
      </c>
      <c r="S16" s="44">
        <v>244443</v>
      </c>
    </row>
    <row r="17" spans="1:19" x14ac:dyDescent="0.2">
      <c r="A17" s="52"/>
      <c r="B17" s="6">
        <v>2</v>
      </c>
      <c r="C17" s="32" t="s">
        <v>147</v>
      </c>
      <c r="D17" s="33">
        <v>7200</v>
      </c>
      <c r="E17" s="33"/>
      <c r="F17" s="33"/>
      <c r="G17" s="33"/>
      <c r="H17" s="33"/>
      <c r="I17" s="33"/>
      <c r="J17" s="10">
        <f t="shared" si="11"/>
        <v>7200</v>
      </c>
      <c r="K17" s="8"/>
      <c r="L17" s="8"/>
      <c r="M17" s="8"/>
      <c r="N17" s="8"/>
      <c r="O17" s="10">
        <f t="shared" si="12"/>
        <v>0</v>
      </c>
      <c r="P17" s="22">
        <f t="shared" si="13"/>
        <v>7200</v>
      </c>
      <c r="Q17" s="18">
        <f t="shared" si="14"/>
        <v>216</v>
      </c>
      <c r="R17" s="23">
        <f t="shared" si="15"/>
        <v>6984</v>
      </c>
      <c r="S17" s="45"/>
    </row>
    <row r="18" spans="1:19" x14ac:dyDescent="0.2">
      <c r="A18" s="52"/>
      <c r="B18" s="6">
        <v>3</v>
      </c>
      <c r="C18" s="32" t="s">
        <v>151</v>
      </c>
      <c r="D18" s="33">
        <v>24000</v>
      </c>
      <c r="E18" s="33"/>
      <c r="F18" s="33"/>
      <c r="G18" s="33"/>
      <c r="H18" s="33"/>
      <c r="I18" s="33"/>
      <c r="J18" s="10">
        <f t="shared" si="11"/>
        <v>24000</v>
      </c>
      <c r="K18" s="8"/>
      <c r="L18" s="8"/>
      <c r="M18" s="8"/>
      <c r="N18" s="8"/>
      <c r="O18" s="10">
        <f t="shared" si="12"/>
        <v>0</v>
      </c>
      <c r="P18" s="22">
        <f t="shared" si="13"/>
        <v>24000</v>
      </c>
      <c r="Q18" s="18">
        <f t="shared" si="14"/>
        <v>720</v>
      </c>
      <c r="R18" s="23">
        <f t="shared" si="15"/>
        <v>23280</v>
      </c>
      <c r="S18" s="45"/>
    </row>
    <row r="19" spans="1:19" x14ac:dyDescent="0.2">
      <c r="A19" s="52"/>
      <c r="B19" s="6">
        <v>4</v>
      </c>
      <c r="C19" s="32" t="s">
        <v>152</v>
      </c>
      <c r="D19" s="33">
        <v>58800</v>
      </c>
      <c r="E19" s="33"/>
      <c r="F19" s="33"/>
      <c r="G19" s="33"/>
      <c r="H19" s="33"/>
      <c r="I19" s="33"/>
      <c r="J19" s="10">
        <f t="shared" si="11"/>
        <v>58800</v>
      </c>
      <c r="K19" s="8"/>
      <c r="L19" s="8"/>
      <c r="M19" s="8"/>
      <c r="N19" s="8"/>
      <c r="O19" s="10">
        <f t="shared" si="12"/>
        <v>0</v>
      </c>
      <c r="P19" s="22">
        <f t="shared" si="13"/>
        <v>58800</v>
      </c>
      <c r="Q19" s="18">
        <f t="shared" si="14"/>
        <v>1764</v>
      </c>
      <c r="R19" s="23">
        <f t="shared" si="15"/>
        <v>57036</v>
      </c>
      <c r="S19" s="54"/>
    </row>
    <row r="20" spans="1:19" x14ac:dyDescent="0.2">
      <c r="A20" s="52"/>
      <c r="B20" s="6">
        <v>5</v>
      </c>
      <c r="C20" s="7" t="s">
        <v>41</v>
      </c>
      <c r="D20" s="8"/>
      <c r="E20" s="8"/>
      <c r="F20" s="8"/>
      <c r="G20" s="8"/>
      <c r="H20" s="8"/>
      <c r="I20" s="8"/>
      <c r="J20" s="10">
        <f>+SUM(D20:I20)</f>
        <v>0</v>
      </c>
      <c r="K20" s="8">
        <v>3333.63</v>
      </c>
      <c r="L20" s="8"/>
      <c r="M20" s="8"/>
      <c r="N20" s="8"/>
      <c r="O20" s="10">
        <f>+SUM(K20:N20)</f>
        <v>3333.63</v>
      </c>
      <c r="P20" s="22">
        <f>+J20+O20</f>
        <v>3333.63</v>
      </c>
      <c r="Q20" s="18">
        <f>IF(P20 &lt; 1000, 0, P20 * 3%)</f>
        <v>100.0089</v>
      </c>
      <c r="R20" s="23">
        <f>+P20-Q20</f>
        <v>3233.6211000000003</v>
      </c>
      <c r="S20" s="44">
        <v>244444</v>
      </c>
    </row>
    <row r="21" spans="1:19" x14ac:dyDescent="0.2">
      <c r="A21" s="52"/>
      <c r="B21" s="6">
        <v>6</v>
      </c>
      <c r="C21" s="7" t="s">
        <v>42</v>
      </c>
      <c r="D21" s="8"/>
      <c r="E21" s="8"/>
      <c r="F21" s="8"/>
      <c r="G21" s="8"/>
      <c r="H21" s="8"/>
      <c r="I21" s="8"/>
      <c r="J21" s="10">
        <f t="shared" ref="J21:J23" si="16">+SUM(D21:I21)</f>
        <v>0</v>
      </c>
      <c r="K21" s="8">
        <v>666.73</v>
      </c>
      <c r="L21" s="8"/>
      <c r="M21" s="8"/>
      <c r="N21" s="8"/>
      <c r="O21" s="10">
        <f t="shared" ref="O21:O23" si="17">+SUM(K21:N21)</f>
        <v>666.73</v>
      </c>
      <c r="P21" s="22">
        <f t="shared" ref="P21:P23" si="18">+J21+O21</f>
        <v>666.73</v>
      </c>
      <c r="Q21" s="18">
        <f t="shared" ref="Q21:Q23" si="19">IF(P21 &lt; 1000, 0, P21 * 3%)</f>
        <v>0</v>
      </c>
      <c r="R21" s="23">
        <f t="shared" ref="R21:R23" si="20">+P21-Q21</f>
        <v>666.73</v>
      </c>
      <c r="S21" s="45"/>
    </row>
    <row r="22" spans="1:19" x14ac:dyDescent="0.2">
      <c r="A22" s="52"/>
      <c r="B22" s="6">
        <v>7</v>
      </c>
      <c r="C22" s="7" t="s">
        <v>88</v>
      </c>
      <c r="D22" s="8"/>
      <c r="E22" s="8"/>
      <c r="F22" s="8"/>
      <c r="G22" s="8"/>
      <c r="H22" s="8"/>
      <c r="I22" s="8"/>
      <c r="J22" s="10">
        <f t="shared" si="16"/>
        <v>0</v>
      </c>
      <c r="K22" s="8">
        <v>111.12</v>
      </c>
      <c r="L22" s="8"/>
      <c r="M22" s="8"/>
      <c r="N22" s="8"/>
      <c r="O22" s="10">
        <f t="shared" ref="O22" si="21">+SUM(K22:N22)</f>
        <v>111.12</v>
      </c>
      <c r="P22" s="22">
        <f t="shared" ref="P22" si="22">+J22+O22</f>
        <v>111.12</v>
      </c>
      <c r="Q22" s="18">
        <f t="shared" ref="Q22" si="23">IF(P22 &lt; 1000, 0, P22 * 3%)</f>
        <v>0</v>
      </c>
      <c r="R22" s="23">
        <f t="shared" ref="R22" si="24">+P22-Q22</f>
        <v>111.12</v>
      </c>
      <c r="S22" s="54"/>
    </row>
    <row r="23" spans="1:19" x14ac:dyDescent="0.2">
      <c r="A23" s="52"/>
      <c r="B23" s="6">
        <v>8</v>
      </c>
      <c r="C23" s="7" t="s">
        <v>42</v>
      </c>
      <c r="D23" s="8">
        <v>8000</v>
      </c>
      <c r="E23" s="8"/>
      <c r="F23" s="8"/>
      <c r="G23" s="8"/>
      <c r="H23" s="8"/>
      <c r="I23" s="8"/>
      <c r="J23" s="10">
        <f t="shared" si="16"/>
        <v>8000</v>
      </c>
      <c r="K23" s="8"/>
      <c r="L23" s="8"/>
      <c r="M23" s="8"/>
      <c r="N23" s="8"/>
      <c r="O23" s="10">
        <f t="shared" si="17"/>
        <v>0</v>
      </c>
      <c r="P23" s="22">
        <f t="shared" si="18"/>
        <v>8000</v>
      </c>
      <c r="Q23" s="18">
        <f t="shared" si="19"/>
        <v>240</v>
      </c>
      <c r="R23" s="23">
        <f t="shared" si="20"/>
        <v>7760</v>
      </c>
      <c r="S23" s="31">
        <v>244469</v>
      </c>
    </row>
    <row r="24" spans="1:19" x14ac:dyDescent="0.2">
      <c r="A24" s="41" t="s">
        <v>39</v>
      </c>
      <c r="B24" s="41"/>
      <c r="C24" s="41"/>
      <c r="D24" s="15">
        <f>+SUM(D16:D23)</f>
        <v>128000</v>
      </c>
      <c r="E24" s="15">
        <f t="shared" ref="E24:R24" si="25">+SUM(E16:E23)</f>
        <v>0</v>
      </c>
      <c r="F24" s="15">
        <f t="shared" si="25"/>
        <v>0</v>
      </c>
      <c r="G24" s="15">
        <f t="shared" si="25"/>
        <v>0</v>
      </c>
      <c r="H24" s="15">
        <f t="shared" si="25"/>
        <v>0</v>
      </c>
      <c r="I24" s="15">
        <f t="shared" si="25"/>
        <v>0</v>
      </c>
      <c r="J24" s="15">
        <f t="shared" si="25"/>
        <v>128000</v>
      </c>
      <c r="K24" s="15">
        <f t="shared" si="25"/>
        <v>4111.4800000000005</v>
      </c>
      <c r="L24" s="15">
        <f t="shared" si="25"/>
        <v>0</v>
      </c>
      <c r="M24" s="15">
        <f t="shared" si="25"/>
        <v>0</v>
      </c>
      <c r="N24" s="15">
        <f t="shared" si="25"/>
        <v>0</v>
      </c>
      <c r="O24" s="15">
        <f t="shared" si="25"/>
        <v>4111.4800000000005</v>
      </c>
      <c r="P24" s="15">
        <f t="shared" si="25"/>
        <v>132111.47999999998</v>
      </c>
      <c r="Q24" s="15">
        <f t="shared" si="25"/>
        <v>3940.0088999999998</v>
      </c>
      <c r="R24" s="15">
        <f t="shared" si="25"/>
        <v>128171.4711</v>
      </c>
      <c r="S24" s="15"/>
    </row>
    <row r="26" spans="1:19" x14ac:dyDescent="0.2">
      <c r="A26" s="52" t="s">
        <v>24</v>
      </c>
      <c r="B26" s="17" t="s">
        <v>5</v>
      </c>
      <c r="C26" s="17" t="s">
        <v>6</v>
      </c>
      <c r="D26" s="17" t="s">
        <v>11</v>
      </c>
      <c r="E26" s="17" t="s">
        <v>20</v>
      </c>
      <c r="F26" s="17" t="s">
        <v>23</v>
      </c>
      <c r="G26" s="17" t="s">
        <v>40</v>
      </c>
    </row>
    <row r="27" spans="1:19" x14ac:dyDescent="0.2">
      <c r="A27" s="52"/>
      <c r="B27" s="6">
        <v>1</v>
      </c>
      <c r="C27" s="7" t="s">
        <v>27</v>
      </c>
      <c r="D27" s="10">
        <v>16000</v>
      </c>
      <c r="E27" s="18">
        <v>0</v>
      </c>
      <c r="F27" s="13">
        <f>+D27-E27</f>
        <v>16000</v>
      </c>
      <c r="G27" s="60"/>
    </row>
    <row r="28" spans="1:19" x14ac:dyDescent="0.2">
      <c r="A28" s="52"/>
      <c r="B28" s="6">
        <v>2</v>
      </c>
      <c r="C28" s="7" t="s">
        <v>28</v>
      </c>
      <c r="D28" s="10">
        <v>16000</v>
      </c>
      <c r="E28" s="18">
        <v>0</v>
      </c>
      <c r="F28" s="13">
        <f>+D28-E28</f>
        <v>16000</v>
      </c>
      <c r="G28" s="61"/>
    </row>
    <row r="29" spans="1:19" x14ac:dyDescent="0.2">
      <c r="A29" s="41" t="s">
        <v>38</v>
      </c>
      <c r="B29" s="41"/>
      <c r="C29" s="41"/>
      <c r="D29" s="19">
        <f>+SUM(D27:D28)</f>
        <v>32000</v>
      </c>
      <c r="E29" s="20">
        <f t="shared" ref="E29:F29" si="26">+SUM(E27:E28)</f>
        <v>0</v>
      </c>
      <c r="F29" s="21">
        <f t="shared" si="26"/>
        <v>32000</v>
      </c>
      <c r="G29" s="61"/>
    </row>
  </sheetData>
  <mergeCells count="32">
    <mergeCell ref="S16:S19"/>
    <mergeCell ref="O14:O15"/>
    <mergeCell ref="S14:S15"/>
    <mergeCell ref="S20:S22"/>
    <mergeCell ref="A29:C29"/>
    <mergeCell ref="K14:N14"/>
    <mergeCell ref="P14:P15"/>
    <mergeCell ref="Q14:Q15"/>
    <mergeCell ref="R14:R15"/>
    <mergeCell ref="G27:G29"/>
    <mergeCell ref="A24:C24"/>
    <mergeCell ref="A26:A28"/>
    <mergeCell ref="B14:B15"/>
    <mergeCell ref="C14:C15"/>
    <mergeCell ref="A12:C12"/>
    <mergeCell ref="D14:I14"/>
    <mergeCell ref="J14:J15"/>
    <mergeCell ref="A14:A23"/>
    <mergeCell ref="A1:B1"/>
    <mergeCell ref="A2:B2"/>
    <mergeCell ref="A3:B3"/>
    <mergeCell ref="C5:C6"/>
    <mergeCell ref="B5:B6"/>
    <mergeCell ref="A5:A11"/>
    <mergeCell ref="D5:I5"/>
    <mergeCell ref="T5:T6"/>
    <mergeCell ref="U5:U6"/>
    <mergeCell ref="J5:J6"/>
    <mergeCell ref="O5:O6"/>
    <mergeCell ref="Q5:S5"/>
    <mergeCell ref="K5:N5"/>
    <mergeCell ref="P5:P6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7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21</xdr:col>
                    <xdr:colOff>209550</xdr:colOff>
                    <xdr:row>6</xdr:row>
                    <xdr:rowOff>19050</xdr:rowOff>
                  </from>
                  <to>
                    <xdr:col>21</xdr:col>
                    <xdr:colOff>638175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21</xdr:col>
                    <xdr:colOff>209550</xdr:colOff>
                    <xdr:row>7</xdr:row>
                    <xdr:rowOff>19050</xdr:rowOff>
                  </from>
                  <to>
                    <xdr:col>21</xdr:col>
                    <xdr:colOff>638175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21</xdr:col>
                    <xdr:colOff>209550</xdr:colOff>
                    <xdr:row>8</xdr:row>
                    <xdr:rowOff>19050</xdr:rowOff>
                  </from>
                  <to>
                    <xdr:col>21</xdr:col>
                    <xdr:colOff>638175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21</xdr:col>
                    <xdr:colOff>209550</xdr:colOff>
                    <xdr:row>9</xdr:row>
                    <xdr:rowOff>19050</xdr:rowOff>
                  </from>
                  <to>
                    <xdr:col>21</xdr:col>
                    <xdr:colOff>638175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21</xdr:col>
                    <xdr:colOff>209550</xdr:colOff>
                    <xdr:row>10</xdr:row>
                    <xdr:rowOff>19050</xdr:rowOff>
                  </from>
                  <to>
                    <xdr:col>21</xdr:col>
                    <xdr:colOff>638175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19</xdr:col>
                    <xdr:colOff>209550</xdr:colOff>
                    <xdr:row>15</xdr:row>
                    <xdr:rowOff>19050</xdr:rowOff>
                  </from>
                  <to>
                    <xdr:col>19</xdr:col>
                    <xdr:colOff>638175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19</xdr:col>
                    <xdr:colOff>209550</xdr:colOff>
                    <xdr:row>16</xdr:row>
                    <xdr:rowOff>19050</xdr:rowOff>
                  </from>
                  <to>
                    <xdr:col>19</xdr:col>
                    <xdr:colOff>638175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19</xdr:col>
                    <xdr:colOff>209550</xdr:colOff>
                    <xdr:row>17</xdr:row>
                    <xdr:rowOff>19050</xdr:rowOff>
                  </from>
                  <to>
                    <xdr:col>19</xdr:col>
                    <xdr:colOff>638175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19</xdr:col>
                    <xdr:colOff>209550</xdr:colOff>
                    <xdr:row>18</xdr:row>
                    <xdr:rowOff>19050</xdr:rowOff>
                  </from>
                  <to>
                    <xdr:col>19</xdr:col>
                    <xdr:colOff>638175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19</xdr:col>
                    <xdr:colOff>209550</xdr:colOff>
                    <xdr:row>19</xdr:row>
                    <xdr:rowOff>19050</xdr:rowOff>
                  </from>
                  <to>
                    <xdr:col>19</xdr:col>
                    <xdr:colOff>638175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19</xdr:col>
                    <xdr:colOff>209550</xdr:colOff>
                    <xdr:row>20</xdr:row>
                    <xdr:rowOff>19050</xdr:rowOff>
                  </from>
                  <to>
                    <xdr:col>19</xdr:col>
                    <xdr:colOff>638175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19</xdr:col>
                    <xdr:colOff>209550</xdr:colOff>
                    <xdr:row>22</xdr:row>
                    <xdr:rowOff>19050</xdr:rowOff>
                  </from>
                  <to>
                    <xdr:col>19</xdr:col>
                    <xdr:colOff>638175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19</xdr:col>
                    <xdr:colOff>209550</xdr:colOff>
                    <xdr:row>21</xdr:row>
                    <xdr:rowOff>19050</xdr:rowOff>
                  </from>
                  <to>
                    <xdr:col>19</xdr:col>
                    <xdr:colOff>638175</xdr:colOff>
                    <xdr:row>21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FFE3-8BCE-4E55-8409-F3F71E66D970}">
  <sheetPr codeName="Sheet3">
    <tabColor rgb="FFFFC000"/>
    <pageSetUpPr fitToPage="1"/>
  </sheetPr>
  <dimension ref="A1:U23"/>
  <sheetViews>
    <sheetView zoomScale="85" zoomScaleNormal="85" workbookViewId="0">
      <selection activeCell="Q15" sqref="Q15"/>
    </sheetView>
  </sheetViews>
  <sheetFormatPr defaultColWidth="9" defaultRowHeight="21" x14ac:dyDescent="0.2"/>
  <cols>
    <col min="1" max="1" width="17.375" style="2" bestFit="1" customWidth="1"/>
    <col min="2" max="2" width="6.375" style="2" customWidth="1"/>
    <col min="3" max="3" width="32.625" style="2" bestFit="1" customWidth="1"/>
    <col min="4" max="4" width="9.875" style="2" bestFit="1" customWidth="1"/>
    <col min="5" max="9" width="9.375" style="2" customWidth="1"/>
    <col min="10" max="10" width="10.25" style="2" bestFit="1" customWidth="1"/>
    <col min="11" max="14" width="9.375" style="2" customWidth="1"/>
    <col min="15" max="15" width="10.375" style="2" customWidth="1"/>
    <col min="16" max="16" width="10.625" style="2" bestFit="1" customWidth="1"/>
    <col min="17" max="18" width="9.375" style="2" customWidth="1"/>
    <col min="19" max="19" width="9.625" style="2" customWidth="1"/>
    <col min="20" max="20" width="9.375" style="2" customWidth="1"/>
    <col min="21" max="21" width="10.625" style="2" bestFit="1" customWidth="1"/>
    <col min="22" max="16384" width="9" style="2"/>
  </cols>
  <sheetData>
    <row r="1" spans="1:21" x14ac:dyDescent="0.2">
      <c r="A1" s="38" t="s">
        <v>0</v>
      </c>
      <c r="B1" s="38"/>
      <c r="C1" s="1" t="s">
        <v>70</v>
      </c>
    </row>
    <row r="2" spans="1:21" x14ac:dyDescent="0.2">
      <c r="A2" s="38" t="s">
        <v>2</v>
      </c>
      <c r="B2" s="38"/>
      <c r="C2" s="3">
        <f>+ARI!C2</f>
        <v>244444</v>
      </c>
    </row>
    <row r="3" spans="1:21" x14ac:dyDescent="0.2">
      <c r="A3" s="38" t="s">
        <v>3</v>
      </c>
      <c r="B3" s="38"/>
      <c r="C3" s="3">
        <f>+ARI!C3</f>
        <v>244469</v>
      </c>
    </row>
    <row r="5" spans="1:21" x14ac:dyDescent="0.2">
      <c r="A5" s="52" t="s">
        <v>4</v>
      </c>
      <c r="B5" s="39" t="s">
        <v>5</v>
      </c>
      <c r="C5" s="39" t="s">
        <v>6</v>
      </c>
      <c r="D5" s="39" t="s">
        <v>21</v>
      </c>
      <c r="E5" s="39"/>
      <c r="F5" s="39"/>
      <c r="G5" s="39"/>
      <c r="H5" s="39"/>
      <c r="I5" s="39"/>
      <c r="J5" s="39" t="s">
        <v>11</v>
      </c>
      <c r="K5" s="39" t="s">
        <v>14</v>
      </c>
      <c r="L5" s="39"/>
      <c r="M5" s="39"/>
      <c r="N5" s="39"/>
      <c r="O5" s="40" t="s">
        <v>29</v>
      </c>
      <c r="P5" s="39" t="s">
        <v>18</v>
      </c>
      <c r="Q5" s="39" t="s">
        <v>19</v>
      </c>
      <c r="R5" s="39"/>
      <c r="S5" s="39"/>
      <c r="T5" s="40" t="s">
        <v>22</v>
      </c>
      <c r="U5" s="39" t="s">
        <v>23</v>
      </c>
    </row>
    <row r="6" spans="1:21" x14ac:dyDescent="0.2">
      <c r="A6" s="52"/>
      <c r="B6" s="39"/>
      <c r="C6" s="39"/>
      <c r="D6" s="5" t="s">
        <v>7</v>
      </c>
      <c r="E6" s="5" t="s">
        <v>8</v>
      </c>
      <c r="F6" s="5" t="s">
        <v>9</v>
      </c>
      <c r="G6" s="5" t="s">
        <v>10</v>
      </c>
      <c r="H6" s="5" t="s">
        <v>12</v>
      </c>
      <c r="I6" s="5" t="s">
        <v>13</v>
      </c>
      <c r="J6" s="39"/>
      <c r="K6" s="5" t="s">
        <v>15</v>
      </c>
      <c r="L6" s="5" t="s">
        <v>16</v>
      </c>
      <c r="M6" s="5" t="s">
        <v>43</v>
      </c>
      <c r="N6" s="5" t="s">
        <v>17</v>
      </c>
      <c r="O6" s="40"/>
      <c r="P6" s="39"/>
      <c r="Q6" s="5" t="s">
        <v>30</v>
      </c>
      <c r="R6" s="5" t="s">
        <v>31</v>
      </c>
      <c r="S6" s="5" t="s">
        <v>20</v>
      </c>
      <c r="T6" s="40"/>
      <c r="U6" s="39"/>
    </row>
    <row r="7" spans="1:21" x14ac:dyDescent="0.2">
      <c r="A7" s="52"/>
      <c r="B7" s="6">
        <v>1</v>
      </c>
      <c r="C7" s="7" t="s">
        <v>85</v>
      </c>
      <c r="D7" s="8">
        <v>17090.91</v>
      </c>
      <c r="E7" s="8">
        <v>6409.09</v>
      </c>
      <c r="F7" s="8"/>
      <c r="G7" s="8"/>
      <c r="H7" s="8">
        <v>1300</v>
      </c>
      <c r="I7" s="8">
        <v>1000</v>
      </c>
      <c r="J7" s="9">
        <f>+SUM(D7:I7)</f>
        <v>25800</v>
      </c>
      <c r="K7" s="8">
        <v>6000</v>
      </c>
      <c r="L7" s="8"/>
      <c r="M7" s="8">
        <v>500</v>
      </c>
      <c r="N7" s="8">
        <v>1157.2</v>
      </c>
      <c r="O7" s="10">
        <f>+SUM(K7:N7)</f>
        <v>7657.2</v>
      </c>
      <c r="P7" s="11">
        <f>+J7+O7</f>
        <v>33457.199999999997</v>
      </c>
      <c r="Q7" s="8">
        <f>ROUND(IF((J7+K7)&gt;17500, 875, (J7+K7)*5%), 0)</f>
        <v>875</v>
      </c>
      <c r="R7" s="8"/>
      <c r="S7" s="8"/>
      <c r="T7" s="12">
        <f>+SUM(Q7:S7)</f>
        <v>875</v>
      </c>
      <c r="U7" s="13">
        <f>+P7-T7</f>
        <v>32582.199999999997</v>
      </c>
    </row>
    <row r="8" spans="1:21" x14ac:dyDescent="0.2">
      <c r="A8" s="52"/>
      <c r="B8" s="6">
        <v>2</v>
      </c>
      <c r="C8" s="7" t="s">
        <v>86</v>
      </c>
      <c r="D8" s="8">
        <v>10909.09</v>
      </c>
      <c r="E8" s="8">
        <v>4090.91</v>
      </c>
      <c r="F8" s="8"/>
      <c r="G8" s="8"/>
      <c r="H8" s="8">
        <v>1100</v>
      </c>
      <c r="I8" s="8"/>
      <c r="J8" s="9">
        <f t="shared" ref="J8:J15" si="0">+SUM(D8:I8)</f>
        <v>16100</v>
      </c>
      <c r="K8" s="8">
        <v>3127.67</v>
      </c>
      <c r="L8" s="8"/>
      <c r="M8" s="8"/>
      <c r="N8" s="8"/>
      <c r="O8" s="10">
        <f t="shared" ref="O8:O15" si="1">+SUM(K8:N8)</f>
        <v>3127.67</v>
      </c>
      <c r="P8" s="11">
        <f t="shared" ref="P8:P15" si="2">+J8+O8</f>
        <v>19227.669999999998</v>
      </c>
      <c r="Q8" s="8">
        <f t="shared" ref="Q8:Q15" si="3">ROUND(IF((J8+K8)&gt;17500, 875, (J8+K8)*5%), 0)</f>
        <v>875</v>
      </c>
      <c r="R8" s="8"/>
      <c r="S8" s="8"/>
      <c r="T8" s="12">
        <f t="shared" ref="T8:T15" si="4">+SUM(Q8:S8)</f>
        <v>875</v>
      </c>
      <c r="U8" s="13">
        <f t="shared" ref="U8:U15" si="5">+P8-T8</f>
        <v>18352.669999999998</v>
      </c>
    </row>
    <row r="9" spans="1:21" x14ac:dyDescent="0.2">
      <c r="A9" s="52"/>
      <c r="B9" s="6">
        <v>3</v>
      </c>
      <c r="C9" s="7" t="s">
        <v>87</v>
      </c>
      <c r="D9" s="8">
        <v>10909.09</v>
      </c>
      <c r="E9" s="8">
        <v>4090.91</v>
      </c>
      <c r="F9" s="8"/>
      <c r="G9" s="8"/>
      <c r="H9" s="8">
        <v>1100</v>
      </c>
      <c r="I9" s="8"/>
      <c r="J9" s="9">
        <f t="shared" si="0"/>
        <v>16100</v>
      </c>
      <c r="K9" s="8">
        <v>2710.65</v>
      </c>
      <c r="L9" s="8"/>
      <c r="M9" s="8"/>
      <c r="N9" s="8"/>
      <c r="O9" s="10">
        <f t="shared" si="1"/>
        <v>2710.65</v>
      </c>
      <c r="P9" s="11">
        <f t="shared" si="2"/>
        <v>18810.650000000001</v>
      </c>
      <c r="Q9" s="8">
        <f t="shared" si="3"/>
        <v>875</v>
      </c>
      <c r="R9" s="8"/>
      <c r="S9" s="8"/>
      <c r="T9" s="12">
        <f t="shared" si="4"/>
        <v>875</v>
      </c>
      <c r="U9" s="13">
        <f t="shared" si="5"/>
        <v>17935.650000000001</v>
      </c>
    </row>
    <row r="10" spans="1:21" x14ac:dyDescent="0.2">
      <c r="A10" s="52"/>
      <c r="B10" s="6">
        <v>4</v>
      </c>
      <c r="C10" s="7" t="s">
        <v>88</v>
      </c>
      <c r="D10" s="8">
        <v>12363.64</v>
      </c>
      <c r="E10" s="8">
        <v>4636.3599999999997</v>
      </c>
      <c r="F10" s="8"/>
      <c r="G10" s="8"/>
      <c r="H10" s="8">
        <v>1100</v>
      </c>
      <c r="I10" s="8"/>
      <c r="J10" s="9">
        <f t="shared" si="0"/>
        <v>18100</v>
      </c>
      <c r="K10" s="8">
        <f>3023.42-566.67</f>
        <v>2456.75</v>
      </c>
      <c r="L10" s="8"/>
      <c r="M10" s="8"/>
      <c r="N10" s="8"/>
      <c r="O10" s="10">
        <f t="shared" si="1"/>
        <v>2456.75</v>
      </c>
      <c r="P10" s="11">
        <f t="shared" si="2"/>
        <v>20556.75</v>
      </c>
      <c r="Q10" s="8">
        <f t="shared" si="3"/>
        <v>875</v>
      </c>
      <c r="R10" s="8"/>
      <c r="S10" s="8"/>
      <c r="T10" s="12">
        <f t="shared" si="4"/>
        <v>875</v>
      </c>
      <c r="U10" s="13">
        <f t="shared" si="5"/>
        <v>19681.75</v>
      </c>
    </row>
    <row r="11" spans="1:21" x14ac:dyDescent="0.2">
      <c r="A11" s="52"/>
      <c r="B11" s="6">
        <v>5</v>
      </c>
      <c r="C11" s="7" t="s">
        <v>90</v>
      </c>
      <c r="D11" s="8">
        <v>10181.82</v>
      </c>
      <c r="E11" s="8">
        <v>3818.18</v>
      </c>
      <c r="F11" s="8"/>
      <c r="G11" s="8"/>
      <c r="H11" s="8">
        <v>1100</v>
      </c>
      <c r="I11" s="8"/>
      <c r="J11" s="9">
        <f t="shared" si="0"/>
        <v>15100</v>
      </c>
      <c r="K11" s="8">
        <v>3127.67</v>
      </c>
      <c r="L11" s="8"/>
      <c r="M11" s="8">
        <v>500</v>
      </c>
      <c r="N11" s="8"/>
      <c r="O11" s="10">
        <f t="shared" ref="O11:O12" si="6">+SUM(K11:N11)</f>
        <v>3627.67</v>
      </c>
      <c r="P11" s="11">
        <f t="shared" ref="P11:P12" si="7">+J11+O11</f>
        <v>18727.669999999998</v>
      </c>
      <c r="Q11" s="8">
        <f t="shared" si="3"/>
        <v>875</v>
      </c>
      <c r="R11" s="8"/>
      <c r="S11" s="8"/>
      <c r="T11" s="12">
        <f t="shared" ref="T11:T12" si="8">+SUM(Q11:S11)</f>
        <v>875</v>
      </c>
      <c r="U11" s="13">
        <f t="shared" ref="U11:U12" si="9">+P11-T11</f>
        <v>17852.669999999998</v>
      </c>
    </row>
    <row r="12" spans="1:21" x14ac:dyDescent="0.2">
      <c r="A12" s="52"/>
      <c r="B12" s="6">
        <v>6</v>
      </c>
      <c r="C12" s="7" t="s">
        <v>89</v>
      </c>
      <c r="D12" s="8">
        <v>12000</v>
      </c>
      <c r="E12" s="8">
        <v>4500</v>
      </c>
      <c r="F12" s="8"/>
      <c r="G12" s="8"/>
      <c r="H12" s="8">
        <v>1100</v>
      </c>
      <c r="I12" s="8"/>
      <c r="J12" s="9">
        <f t="shared" si="0"/>
        <v>17600</v>
      </c>
      <c r="K12" s="8"/>
      <c r="L12" s="8"/>
      <c r="M12" s="8">
        <v>500</v>
      </c>
      <c r="N12" s="8"/>
      <c r="O12" s="10">
        <f t="shared" si="6"/>
        <v>500</v>
      </c>
      <c r="P12" s="11">
        <f t="shared" si="7"/>
        <v>18100</v>
      </c>
      <c r="Q12" s="8">
        <f t="shared" si="3"/>
        <v>875</v>
      </c>
      <c r="R12" s="8"/>
      <c r="S12" s="8"/>
      <c r="T12" s="12">
        <f t="shared" si="8"/>
        <v>875</v>
      </c>
      <c r="U12" s="13">
        <f t="shared" si="9"/>
        <v>17225</v>
      </c>
    </row>
    <row r="13" spans="1:21" x14ac:dyDescent="0.2">
      <c r="A13" s="52"/>
      <c r="B13" s="6">
        <v>7</v>
      </c>
      <c r="C13" s="7" t="s">
        <v>91</v>
      </c>
      <c r="D13" s="8">
        <v>13454.55</v>
      </c>
      <c r="E13" s="8">
        <v>5045.45</v>
      </c>
      <c r="F13" s="8"/>
      <c r="G13" s="8"/>
      <c r="H13" s="8">
        <v>1300</v>
      </c>
      <c r="I13" s="8">
        <v>2400</v>
      </c>
      <c r="J13" s="9">
        <f t="shared" si="0"/>
        <v>22200</v>
      </c>
      <c r="K13" s="8">
        <v>3127.67</v>
      </c>
      <c r="L13" s="8"/>
      <c r="M13" s="8">
        <v>500</v>
      </c>
      <c r="N13" s="8">
        <v>84.09</v>
      </c>
      <c r="O13" s="10">
        <f t="shared" ref="O13:O14" si="10">+SUM(K13:N13)</f>
        <v>3711.76</v>
      </c>
      <c r="P13" s="11">
        <f t="shared" ref="P13:P14" si="11">+J13+O13</f>
        <v>25911.760000000002</v>
      </c>
      <c r="Q13" s="8">
        <f t="shared" si="3"/>
        <v>875</v>
      </c>
      <c r="R13" s="8"/>
      <c r="S13" s="8"/>
      <c r="T13" s="12">
        <f t="shared" ref="T13:T14" si="12">+SUM(Q13:S13)</f>
        <v>875</v>
      </c>
      <c r="U13" s="13">
        <f t="shared" ref="U13:U14" si="13">+P13-T13</f>
        <v>25036.760000000002</v>
      </c>
    </row>
    <row r="14" spans="1:21" x14ac:dyDescent="0.2">
      <c r="A14" s="52"/>
      <c r="B14" s="6">
        <v>8</v>
      </c>
      <c r="C14" s="7" t="s">
        <v>92</v>
      </c>
      <c r="D14" s="8">
        <v>10909.09</v>
      </c>
      <c r="E14" s="8">
        <v>4090.91</v>
      </c>
      <c r="F14" s="8"/>
      <c r="G14" s="8"/>
      <c r="H14" s="8">
        <v>1100</v>
      </c>
      <c r="I14" s="8"/>
      <c r="J14" s="9">
        <f t="shared" si="0"/>
        <v>16100</v>
      </c>
      <c r="K14" s="8">
        <v>3127.67</v>
      </c>
      <c r="L14" s="8"/>
      <c r="M14" s="8">
        <v>500</v>
      </c>
      <c r="N14" s="8"/>
      <c r="O14" s="10">
        <f t="shared" si="10"/>
        <v>3627.67</v>
      </c>
      <c r="P14" s="11">
        <f t="shared" si="11"/>
        <v>19727.669999999998</v>
      </c>
      <c r="Q14" s="8">
        <f t="shared" si="3"/>
        <v>875</v>
      </c>
      <c r="R14" s="8"/>
      <c r="S14" s="8"/>
      <c r="T14" s="12">
        <f t="shared" si="12"/>
        <v>875</v>
      </c>
      <c r="U14" s="13">
        <f t="shared" si="13"/>
        <v>18852.669999999998</v>
      </c>
    </row>
    <row r="15" spans="1:21" x14ac:dyDescent="0.2">
      <c r="A15" s="52"/>
      <c r="B15" s="6">
        <v>9</v>
      </c>
      <c r="C15" s="7" t="s">
        <v>93</v>
      </c>
      <c r="D15" s="8">
        <v>10181.82</v>
      </c>
      <c r="E15" s="8">
        <v>3818.18</v>
      </c>
      <c r="F15" s="8"/>
      <c r="G15" s="8"/>
      <c r="H15" s="8">
        <v>1100</v>
      </c>
      <c r="I15" s="8"/>
      <c r="J15" s="9">
        <f t="shared" si="0"/>
        <v>15100</v>
      </c>
      <c r="K15" s="8">
        <v>3127.67</v>
      </c>
      <c r="L15" s="8"/>
      <c r="M15" s="8">
        <v>500</v>
      </c>
      <c r="N15" s="8">
        <v>63.64</v>
      </c>
      <c r="O15" s="10">
        <f t="shared" si="1"/>
        <v>3691.31</v>
      </c>
      <c r="P15" s="11">
        <f t="shared" si="2"/>
        <v>18791.310000000001</v>
      </c>
      <c r="Q15" s="8">
        <f t="shared" si="3"/>
        <v>875</v>
      </c>
      <c r="R15" s="8">
        <v>482</v>
      </c>
      <c r="S15" s="8"/>
      <c r="T15" s="12">
        <f t="shared" si="4"/>
        <v>1357</v>
      </c>
      <c r="U15" s="13">
        <f t="shared" si="5"/>
        <v>17434.310000000001</v>
      </c>
    </row>
    <row r="16" spans="1:21" x14ac:dyDescent="0.2">
      <c r="A16" s="62" t="s">
        <v>37</v>
      </c>
      <c r="B16" s="62"/>
      <c r="C16" s="62"/>
      <c r="D16" s="25">
        <f>+SUM(D7:D15)</f>
        <v>108000.00999999998</v>
      </c>
      <c r="E16" s="25">
        <f t="shared" ref="E16:U16" si="14">+SUM(E7:E15)</f>
        <v>40499.99</v>
      </c>
      <c r="F16" s="25">
        <f t="shared" si="14"/>
        <v>0</v>
      </c>
      <c r="G16" s="25">
        <f t="shared" si="14"/>
        <v>0</v>
      </c>
      <c r="H16" s="25">
        <f t="shared" si="14"/>
        <v>10300</v>
      </c>
      <c r="I16" s="25">
        <f t="shared" si="14"/>
        <v>3400</v>
      </c>
      <c r="J16" s="25">
        <f t="shared" si="14"/>
        <v>162200</v>
      </c>
      <c r="K16" s="25">
        <f t="shared" si="14"/>
        <v>26805.749999999993</v>
      </c>
      <c r="L16" s="25">
        <f t="shared" si="14"/>
        <v>0</v>
      </c>
      <c r="M16" s="25">
        <f t="shared" si="14"/>
        <v>3000</v>
      </c>
      <c r="N16" s="25">
        <f t="shared" si="14"/>
        <v>1304.93</v>
      </c>
      <c r="O16" s="25">
        <f t="shared" si="14"/>
        <v>31110.679999999997</v>
      </c>
      <c r="P16" s="25">
        <f t="shared" si="14"/>
        <v>193310.68</v>
      </c>
      <c r="Q16" s="25">
        <f t="shared" si="14"/>
        <v>7875</v>
      </c>
      <c r="R16" s="25">
        <f t="shared" si="14"/>
        <v>482</v>
      </c>
      <c r="S16" s="25">
        <f t="shared" si="14"/>
        <v>0</v>
      </c>
      <c r="T16" s="25">
        <f t="shared" si="14"/>
        <v>8357</v>
      </c>
      <c r="U16" s="25">
        <f t="shared" si="14"/>
        <v>184953.68</v>
      </c>
    </row>
    <row r="18" spans="1:19" x14ac:dyDescent="0.2">
      <c r="A18" s="52" t="s">
        <v>25</v>
      </c>
      <c r="B18" s="46" t="s">
        <v>5</v>
      </c>
      <c r="C18" s="46" t="s">
        <v>6</v>
      </c>
      <c r="D18" s="46" t="s">
        <v>21</v>
      </c>
      <c r="E18" s="46"/>
      <c r="F18" s="46"/>
      <c r="G18" s="46"/>
      <c r="H18" s="46"/>
      <c r="I18" s="46"/>
      <c r="J18" s="46" t="s">
        <v>11</v>
      </c>
      <c r="K18" s="46" t="s">
        <v>14</v>
      </c>
      <c r="L18" s="46"/>
      <c r="M18" s="46"/>
      <c r="N18" s="46"/>
      <c r="O18" s="47" t="s">
        <v>29</v>
      </c>
      <c r="P18" s="46" t="s">
        <v>18</v>
      </c>
      <c r="Q18" s="46" t="s">
        <v>26</v>
      </c>
      <c r="R18" s="46" t="s">
        <v>23</v>
      </c>
      <c r="S18" s="46" t="s">
        <v>40</v>
      </c>
    </row>
    <row r="19" spans="1:19" x14ac:dyDescent="0.2">
      <c r="A19" s="52"/>
      <c r="B19" s="46"/>
      <c r="C19" s="46"/>
      <c r="D19" s="17" t="s">
        <v>7</v>
      </c>
      <c r="E19" s="17" t="s">
        <v>8</v>
      </c>
      <c r="F19" s="17" t="s">
        <v>9</v>
      </c>
      <c r="G19" s="17" t="s">
        <v>10</v>
      </c>
      <c r="H19" s="17" t="s">
        <v>12</v>
      </c>
      <c r="I19" s="17" t="s">
        <v>13</v>
      </c>
      <c r="J19" s="46"/>
      <c r="K19" s="17" t="s">
        <v>15</v>
      </c>
      <c r="L19" s="17" t="s">
        <v>16</v>
      </c>
      <c r="M19" s="17" t="s">
        <v>43</v>
      </c>
      <c r="N19" s="17" t="s">
        <v>17</v>
      </c>
      <c r="O19" s="47"/>
      <c r="P19" s="46"/>
      <c r="Q19" s="46"/>
      <c r="R19" s="46"/>
      <c r="S19" s="46"/>
    </row>
    <row r="20" spans="1:19" x14ac:dyDescent="0.2">
      <c r="A20" s="52"/>
      <c r="B20" s="6">
        <v>1</v>
      </c>
      <c r="C20" s="7" t="s">
        <v>41</v>
      </c>
      <c r="D20" s="8"/>
      <c r="E20" s="8"/>
      <c r="F20" s="8"/>
      <c r="G20" s="8"/>
      <c r="H20" s="8"/>
      <c r="I20" s="8"/>
      <c r="J20" s="10">
        <f>+SUM(D20:I20)</f>
        <v>0</v>
      </c>
      <c r="K20" s="8">
        <v>4170.2299999999996</v>
      </c>
      <c r="L20" s="8"/>
      <c r="M20" s="8"/>
      <c r="N20" s="8"/>
      <c r="O20" s="10">
        <f>+SUM(K20:N20)</f>
        <v>4170.2299999999996</v>
      </c>
      <c r="P20" s="22">
        <f>+J20+O20</f>
        <v>4170.2299999999996</v>
      </c>
      <c r="Q20" s="18">
        <f>IF(P20 &lt; 1000, 0, P20 * 3%)</f>
        <v>125.10689999999998</v>
      </c>
      <c r="R20" s="23">
        <f>+P20-Q20</f>
        <v>4045.1230999999998</v>
      </c>
      <c r="S20" s="45">
        <v>244444</v>
      </c>
    </row>
    <row r="21" spans="1:19" x14ac:dyDescent="0.2">
      <c r="A21" s="52"/>
      <c r="B21" s="6">
        <v>2</v>
      </c>
      <c r="C21" s="7" t="s">
        <v>42</v>
      </c>
      <c r="D21" s="8"/>
      <c r="E21" s="8"/>
      <c r="F21" s="8"/>
      <c r="G21" s="8"/>
      <c r="H21" s="8"/>
      <c r="I21" s="8"/>
      <c r="J21" s="10">
        <f t="shared" ref="J21:J22" si="15">+SUM(D21:I21)</f>
        <v>0</v>
      </c>
      <c r="K21" s="8">
        <v>834.05</v>
      </c>
      <c r="L21" s="8"/>
      <c r="M21" s="8"/>
      <c r="N21" s="8"/>
      <c r="O21" s="10">
        <f t="shared" ref="O21:O22" si="16">+SUM(K21:N21)</f>
        <v>834.05</v>
      </c>
      <c r="P21" s="22">
        <f t="shared" ref="P21:P22" si="17">+J21+O21</f>
        <v>834.05</v>
      </c>
      <c r="Q21" s="18">
        <f t="shared" ref="Q21:Q22" si="18">IF(P21 &lt; 1000, 0, P21 * 3%)</f>
        <v>0</v>
      </c>
      <c r="R21" s="23">
        <f t="shared" ref="R21:R22" si="19">+P21-Q21</f>
        <v>834.05</v>
      </c>
      <c r="S21" s="54"/>
    </row>
    <row r="22" spans="1:19" x14ac:dyDescent="0.2">
      <c r="A22" s="52"/>
      <c r="B22" s="6">
        <v>3</v>
      </c>
      <c r="C22" s="7" t="s">
        <v>42</v>
      </c>
      <c r="D22" s="8">
        <v>8000</v>
      </c>
      <c r="E22" s="8"/>
      <c r="F22" s="8"/>
      <c r="G22" s="8"/>
      <c r="H22" s="8"/>
      <c r="I22" s="8"/>
      <c r="J22" s="10">
        <f t="shared" si="15"/>
        <v>8000</v>
      </c>
      <c r="K22" s="8"/>
      <c r="L22" s="8"/>
      <c r="M22" s="8"/>
      <c r="N22" s="8"/>
      <c r="O22" s="10">
        <f t="shared" si="16"/>
        <v>0</v>
      </c>
      <c r="P22" s="22">
        <f t="shared" si="17"/>
        <v>8000</v>
      </c>
      <c r="Q22" s="18">
        <f t="shared" si="18"/>
        <v>240</v>
      </c>
      <c r="R22" s="23">
        <f t="shared" si="19"/>
        <v>7760</v>
      </c>
      <c r="S22" s="31">
        <v>244469</v>
      </c>
    </row>
    <row r="23" spans="1:19" x14ac:dyDescent="0.2">
      <c r="A23" s="62" t="s">
        <v>39</v>
      </c>
      <c r="B23" s="62"/>
      <c r="C23" s="62"/>
      <c r="D23" s="26">
        <f>+SUM(D20:D22)</f>
        <v>8000</v>
      </c>
      <c r="E23" s="26">
        <f t="shared" ref="E23:R23" si="20">+SUM(E20:E22)</f>
        <v>0</v>
      </c>
      <c r="F23" s="26">
        <f t="shared" si="20"/>
        <v>0</v>
      </c>
      <c r="G23" s="26">
        <f t="shared" si="20"/>
        <v>0</v>
      </c>
      <c r="H23" s="26">
        <f t="shared" si="20"/>
        <v>0</v>
      </c>
      <c r="I23" s="26">
        <f t="shared" si="20"/>
        <v>0</v>
      </c>
      <c r="J23" s="26">
        <f t="shared" si="20"/>
        <v>8000</v>
      </c>
      <c r="K23" s="26">
        <f t="shared" si="20"/>
        <v>5004.28</v>
      </c>
      <c r="L23" s="26">
        <f t="shared" si="20"/>
        <v>0</v>
      </c>
      <c r="M23" s="26">
        <f t="shared" si="20"/>
        <v>0</v>
      </c>
      <c r="N23" s="26">
        <f t="shared" si="20"/>
        <v>0</v>
      </c>
      <c r="O23" s="26">
        <f t="shared" si="20"/>
        <v>5004.28</v>
      </c>
      <c r="P23" s="26">
        <f t="shared" si="20"/>
        <v>13004.279999999999</v>
      </c>
      <c r="Q23" s="27">
        <f t="shared" si="20"/>
        <v>365.1069</v>
      </c>
      <c r="R23" s="26">
        <f t="shared" si="20"/>
        <v>12639.1731</v>
      </c>
      <c r="S23" s="26"/>
    </row>
  </sheetData>
  <mergeCells count="28">
    <mergeCell ref="R18:R19"/>
    <mergeCell ref="S18:S19"/>
    <mergeCell ref="A18:A22"/>
    <mergeCell ref="B18:B19"/>
    <mergeCell ref="C18:C19"/>
    <mergeCell ref="D18:I18"/>
    <mergeCell ref="J18:J19"/>
    <mergeCell ref="S20:S21"/>
    <mergeCell ref="A23:C23"/>
    <mergeCell ref="K18:N18"/>
    <mergeCell ref="O18:O19"/>
    <mergeCell ref="P18:P19"/>
    <mergeCell ref="Q18:Q19"/>
    <mergeCell ref="T5:T6"/>
    <mergeCell ref="U5:U6"/>
    <mergeCell ref="A16:C16"/>
    <mergeCell ref="D5:I5"/>
    <mergeCell ref="J5:J6"/>
    <mergeCell ref="K5:N5"/>
    <mergeCell ref="O5:O6"/>
    <mergeCell ref="P5:P6"/>
    <mergeCell ref="Q5:S5"/>
    <mergeCell ref="C5:C6"/>
    <mergeCell ref="A1:B1"/>
    <mergeCell ref="A2:B2"/>
    <mergeCell ref="A3:B3"/>
    <mergeCell ref="A5:A15"/>
    <mergeCell ref="B5:B6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21</xdr:col>
                    <xdr:colOff>209550</xdr:colOff>
                    <xdr:row>6</xdr:row>
                    <xdr:rowOff>19050</xdr:rowOff>
                  </from>
                  <to>
                    <xdr:col>21</xdr:col>
                    <xdr:colOff>638175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21</xdr:col>
                    <xdr:colOff>209550</xdr:colOff>
                    <xdr:row>7</xdr:row>
                    <xdr:rowOff>19050</xdr:rowOff>
                  </from>
                  <to>
                    <xdr:col>21</xdr:col>
                    <xdr:colOff>638175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209550</xdr:colOff>
                    <xdr:row>8</xdr:row>
                    <xdr:rowOff>19050</xdr:rowOff>
                  </from>
                  <to>
                    <xdr:col>21</xdr:col>
                    <xdr:colOff>638175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21</xdr:col>
                    <xdr:colOff>209550</xdr:colOff>
                    <xdr:row>9</xdr:row>
                    <xdr:rowOff>19050</xdr:rowOff>
                  </from>
                  <to>
                    <xdr:col>21</xdr:col>
                    <xdr:colOff>638175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21</xdr:col>
                    <xdr:colOff>209550</xdr:colOff>
                    <xdr:row>10</xdr:row>
                    <xdr:rowOff>19050</xdr:rowOff>
                  </from>
                  <to>
                    <xdr:col>21</xdr:col>
                    <xdr:colOff>638175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21</xdr:col>
                    <xdr:colOff>209550</xdr:colOff>
                    <xdr:row>11</xdr:row>
                    <xdr:rowOff>19050</xdr:rowOff>
                  </from>
                  <to>
                    <xdr:col>21</xdr:col>
                    <xdr:colOff>638175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21</xdr:col>
                    <xdr:colOff>209550</xdr:colOff>
                    <xdr:row>12</xdr:row>
                    <xdr:rowOff>19050</xdr:rowOff>
                  </from>
                  <to>
                    <xdr:col>21</xdr:col>
                    <xdr:colOff>638175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21</xdr:col>
                    <xdr:colOff>209550</xdr:colOff>
                    <xdr:row>13</xdr:row>
                    <xdr:rowOff>19050</xdr:rowOff>
                  </from>
                  <to>
                    <xdr:col>21</xdr:col>
                    <xdr:colOff>638175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21</xdr:col>
                    <xdr:colOff>209550</xdr:colOff>
                    <xdr:row>14</xdr:row>
                    <xdr:rowOff>19050</xdr:rowOff>
                  </from>
                  <to>
                    <xdr:col>21</xdr:col>
                    <xdr:colOff>638175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19</xdr:col>
                    <xdr:colOff>209550</xdr:colOff>
                    <xdr:row>19</xdr:row>
                    <xdr:rowOff>19050</xdr:rowOff>
                  </from>
                  <to>
                    <xdr:col>19</xdr:col>
                    <xdr:colOff>638175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19</xdr:col>
                    <xdr:colOff>209550</xdr:colOff>
                    <xdr:row>20</xdr:row>
                    <xdr:rowOff>19050</xdr:rowOff>
                  </from>
                  <to>
                    <xdr:col>19</xdr:col>
                    <xdr:colOff>638175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19</xdr:col>
                    <xdr:colOff>209550</xdr:colOff>
                    <xdr:row>21</xdr:row>
                    <xdr:rowOff>19050</xdr:rowOff>
                  </from>
                  <to>
                    <xdr:col>19</xdr:col>
                    <xdr:colOff>638175</xdr:colOff>
                    <xdr:row>21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E0F0-0274-4489-A315-F9AB54F3C815}">
  <sheetPr codeName="Sheet4">
    <tabColor rgb="FFFFC000"/>
    <pageSetUpPr fitToPage="1"/>
  </sheetPr>
  <dimension ref="A1:U29"/>
  <sheetViews>
    <sheetView topLeftCell="A4" zoomScale="85" zoomScaleNormal="85" workbookViewId="0">
      <selection activeCell="Q16" sqref="Q16"/>
    </sheetView>
  </sheetViews>
  <sheetFormatPr defaultColWidth="9" defaultRowHeight="21" x14ac:dyDescent="0.2"/>
  <cols>
    <col min="1" max="1" width="17.375" style="2" bestFit="1" customWidth="1"/>
    <col min="2" max="2" width="6.375" style="2" customWidth="1"/>
    <col min="3" max="3" width="32.625" style="2" bestFit="1" customWidth="1"/>
    <col min="4" max="4" width="9.875" style="2" bestFit="1" customWidth="1"/>
    <col min="5" max="9" width="9.375" style="2" customWidth="1"/>
    <col min="10" max="10" width="10.125" style="2" bestFit="1" customWidth="1"/>
    <col min="11" max="14" width="9.375" style="2" customWidth="1"/>
    <col min="15" max="15" width="10.375" style="2" customWidth="1"/>
    <col min="16" max="16" width="11" style="2" bestFit="1" customWidth="1"/>
    <col min="17" max="18" width="9.375" style="2" customWidth="1"/>
    <col min="19" max="19" width="9.625" style="2" customWidth="1"/>
    <col min="20" max="20" width="9.375" style="2" customWidth="1"/>
    <col min="21" max="21" width="10.375" style="2" customWidth="1"/>
    <col min="22" max="16384" width="9" style="2"/>
  </cols>
  <sheetData>
    <row r="1" spans="1:21" x14ac:dyDescent="0.2">
      <c r="A1" s="38" t="s">
        <v>0</v>
      </c>
      <c r="B1" s="38"/>
      <c r="C1" s="1" t="s">
        <v>58</v>
      </c>
    </row>
    <row r="2" spans="1:21" x14ac:dyDescent="0.2">
      <c r="A2" s="38" t="s">
        <v>2</v>
      </c>
      <c r="B2" s="38"/>
      <c r="C2" s="3">
        <f>+ARI!C2</f>
        <v>244444</v>
      </c>
    </row>
    <row r="3" spans="1:21" x14ac:dyDescent="0.2">
      <c r="A3" s="38" t="s">
        <v>3</v>
      </c>
      <c r="B3" s="38"/>
      <c r="C3" s="3">
        <f>+ARI!C3</f>
        <v>244469</v>
      </c>
    </row>
    <row r="5" spans="1:21" x14ac:dyDescent="0.2">
      <c r="A5" s="52" t="s">
        <v>4</v>
      </c>
      <c r="B5" s="39" t="s">
        <v>5</v>
      </c>
      <c r="C5" s="39" t="s">
        <v>6</v>
      </c>
      <c r="D5" s="39" t="s">
        <v>21</v>
      </c>
      <c r="E5" s="39"/>
      <c r="F5" s="39"/>
      <c r="G5" s="39"/>
      <c r="H5" s="39"/>
      <c r="I5" s="39"/>
      <c r="J5" s="39" t="s">
        <v>11</v>
      </c>
      <c r="K5" s="39" t="s">
        <v>14</v>
      </c>
      <c r="L5" s="39"/>
      <c r="M5" s="39"/>
      <c r="N5" s="39"/>
      <c r="O5" s="40" t="s">
        <v>29</v>
      </c>
      <c r="P5" s="39" t="s">
        <v>18</v>
      </c>
      <c r="Q5" s="39" t="s">
        <v>19</v>
      </c>
      <c r="R5" s="39"/>
      <c r="S5" s="39"/>
      <c r="T5" s="40" t="s">
        <v>22</v>
      </c>
      <c r="U5" s="39" t="s">
        <v>23</v>
      </c>
    </row>
    <row r="6" spans="1:21" x14ac:dyDescent="0.2">
      <c r="A6" s="52"/>
      <c r="B6" s="39"/>
      <c r="C6" s="39"/>
      <c r="D6" s="5" t="s">
        <v>7</v>
      </c>
      <c r="E6" s="5" t="s">
        <v>8</v>
      </c>
      <c r="F6" s="5" t="s">
        <v>9</v>
      </c>
      <c r="G6" s="5" t="s">
        <v>10</v>
      </c>
      <c r="H6" s="5" t="s">
        <v>12</v>
      </c>
      <c r="I6" s="5" t="s">
        <v>13</v>
      </c>
      <c r="J6" s="39"/>
      <c r="K6" s="5" t="s">
        <v>15</v>
      </c>
      <c r="L6" s="5" t="s">
        <v>16</v>
      </c>
      <c r="M6" s="5" t="s">
        <v>43</v>
      </c>
      <c r="N6" s="5" t="s">
        <v>17</v>
      </c>
      <c r="O6" s="40"/>
      <c r="P6" s="39"/>
      <c r="Q6" s="5" t="s">
        <v>30</v>
      </c>
      <c r="R6" s="5" t="s">
        <v>31</v>
      </c>
      <c r="S6" s="5" t="s">
        <v>20</v>
      </c>
      <c r="T6" s="40"/>
      <c r="U6" s="39"/>
    </row>
    <row r="7" spans="1:21" x14ac:dyDescent="0.2">
      <c r="A7" s="52"/>
      <c r="B7" s="6">
        <v>1</v>
      </c>
      <c r="C7" s="7" t="s">
        <v>59</v>
      </c>
      <c r="D7" s="8">
        <v>16727.27</v>
      </c>
      <c r="E7" s="8">
        <v>6272.73</v>
      </c>
      <c r="F7" s="8"/>
      <c r="G7" s="8"/>
      <c r="H7" s="8">
        <v>1300</v>
      </c>
      <c r="I7" s="8"/>
      <c r="J7" s="9">
        <f>+SUM(D7:I7)</f>
        <v>24300</v>
      </c>
      <c r="K7" s="8">
        <v>5565.69</v>
      </c>
      <c r="L7" s="8">
        <v>200</v>
      </c>
      <c r="M7" s="8"/>
      <c r="N7" s="8">
        <v>627.27</v>
      </c>
      <c r="O7" s="10">
        <f>+SUM(K7:N7)</f>
        <v>6392.9599999999991</v>
      </c>
      <c r="P7" s="11">
        <f>+J7+O7</f>
        <v>30692.959999999999</v>
      </c>
      <c r="Q7" s="8">
        <f>ROUND(IF((J7+K7)&gt;17500, 875, (J7+K7)*5%), 0)</f>
        <v>875</v>
      </c>
      <c r="R7" s="8"/>
      <c r="S7" s="8"/>
      <c r="T7" s="12">
        <f>+SUM(Q7:S7)</f>
        <v>875</v>
      </c>
      <c r="U7" s="13">
        <f>+P7-T7</f>
        <v>29817.96</v>
      </c>
    </row>
    <row r="8" spans="1:21" x14ac:dyDescent="0.2">
      <c r="A8" s="52"/>
      <c r="B8" s="6">
        <v>2</v>
      </c>
      <c r="C8" s="7" t="s">
        <v>60</v>
      </c>
      <c r="D8" s="8">
        <v>13090.91</v>
      </c>
      <c r="E8" s="8">
        <v>4909.09</v>
      </c>
      <c r="F8" s="8"/>
      <c r="G8" s="8"/>
      <c r="H8" s="8">
        <v>1300</v>
      </c>
      <c r="I8" s="8"/>
      <c r="J8" s="9">
        <f t="shared" ref="J8:J10" si="0">+SUM(D8:I8)</f>
        <v>19300</v>
      </c>
      <c r="K8" s="8">
        <v>4417.21</v>
      </c>
      <c r="L8" s="8">
        <v>200</v>
      </c>
      <c r="M8" s="8">
        <v>500</v>
      </c>
      <c r="N8" s="8"/>
      <c r="O8" s="10">
        <f t="shared" ref="O8:O10" si="1">+SUM(K8:N8)</f>
        <v>5117.21</v>
      </c>
      <c r="P8" s="11">
        <f t="shared" ref="P8:P10" si="2">+J8+O8</f>
        <v>24417.21</v>
      </c>
      <c r="Q8" s="8">
        <f t="shared" ref="Q8:Q16" si="3">ROUND(IF((J8+K8)&gt;17500, 875, (J8+K8)*5%), 0)</f>
        <v>875</v>
      </c>
      <c r="R8" s="8"/>
      <c r="S8" s="8"/>
      <c r="T8" s="12">
        <f t="shared" ref="T8:T10" si="4">+SUM(Q8:S8)</f>
        <v>875</v>
      </c>
      <c r="U8" s="13">
        <f t="shared" ref="U8:U10" si="5">+P8-T8</f>
        <v>23542.21</v>
      </c>
    </row>
    <row r="9" spans="1:21" x14ac:dyDescent="0.2">
      <c r="A9" s="52"/>
      <c r="B9" s="6">
        <v>3</v>
      </c>
      <c r="C9" s="7" t="s">
        <v>61</v>
      </c>
      <c r="D9" s="8">
        <v>13818.18</v>
      </c>
      <c r="E9" s="8">
        <v>5181.82</v>
      </c>
      <c r="F9" s="8"/>
      <c r="G9" s="8"/>
      <c r="H9" s="8">
        <v>1300</v>
      </c>
      <c r="I9" s="8"/>
      <c r="J9" s="9">
        <f t="shared" si="0"/>
        <v>20300</v>
      </c>
      <c r="K9" s="8">
        <v>3710.46</v>
      </c>
      <c r="L9" s="8">
        <v>200</v>
      </c>
      <c r="M9" s="8"/>
      <c r="N9" s="8"/>
      <c r="O9" s="10">
        <f t="shared" si="1"/>
        <v>3910.46</v>
      </c>
      <c r="P9" s="11">
        <f t="shared" si="2"/>
        <v>24210.46</v>
      </c>
      <c r="Q9" s="8">
        <f t="shared" si="3"/>
        <v>875</v>
      </c>
      <c r="R9" s="8"/>
      <c r="S9" s="8"/>
      <c r="T9" s="12">
        <f t="shared" si="4"/>
        <v>875</v>
      </c>
      <c r="U9" s="13">
        <f t="shared" si="5"/>
        <v>23335.46</v>
      </c>
    </row>
    <row r="10" spans="1:21" x14ac:dyDescent="0.2">
      <c r="A10" s="52"/>
      <c r="B10" s="6">
        <v>4</v>
      </c>
      <c r="C10" s="7" t="s">
        <v>62</v>
      </c>
      <c r="D10" s="8">
        <v>13818.18</v>
      </c>
      <c r="E10" s="8">
        <v>5181.82</v>
      </c>
      <c r="F10" s="8"/>
      <c r="G10" s="8"/>
      <c r="H10" s="8">
        <v>1100</v>
      </c>
      <c r="I10" s="8"/>
      <c r="J10" s="9">
        <f t="shared" si="0"/>
        <v>20100</v>
      </c>
      <c r="K10" s="8">
        <v>2355.85</v>
      </c>
      <c r="L10" s="8">
        <v>200</v>
      </c>
      <c r="M10" s="8">
        <v>500</v>
      </c>
      <c r="N10" s="8"/>
      <c r="O10" s="10">
        <f t="shared" si="1"/>
        <v>3055.85</v>
      </c>
      <c r="P10" s="11">
        <f t="shared" si="2"/>
        <v>23155.85</v>
      </c>
      <c r="Q10" s="8">
        <f t="shared" si="3"/>
        <v>875</v>
      </c>
      <c r="R10" s="8"/>
      <c r="S10" s="8"/>
      <c r="T10" s="12">
        <f t="shared" si="4"/>
        <v>875</v>
      </c>
      <c r="U10" s="13">
        <f t="shared" si="5"/>
        <v>22280.85</v>
      </c>
    </row>
    <row r="11" spans="1:21" x14ac:dyDescent="0.2">
      <c r="A11" s="52"/>
      <c r="B11" s="6">
        <v>5</v>
      </c>
      <c r="C11" s="7" t="s">
        <v>66</v>
      </c>
      <c r="D11" s="8">
        <v>13090.91</v>
      </c>
      <c r="E11" s="8">
        <v>4909.09</v>
      </c>
      <c r="F11" s="8"/>
      <c r="G11" s="8"/>
      <c r="H11" s="8">
        <v>1100</v>
      </c>
      <c r="I11" s="8"/>
      <c r="J11" s="9">
        <f t="shared" ref="J11:J16" si="6">+SUM(D11:I11)</f>
        <v>19100</v>
      </c>
      <c r="K11" s="8">
        <v>4269.97</v>
      </c>
      <c r="L11" s="8">
        <v>378.18</v>
      </c>
      <c r="M11" s="8"/>
      <c r="N11" s="8">
        <v>163.63999999999999</v>
      </c>
      <c r="O11" s="10">
        <f t="shared" ref="O11:O16" si="7">+SUM(K11:N11)</f>
        <v>4811.7900000000009</v>
      </c>
      <c r="P11" s="11">
        <f t="shared" ref="P11:P16" si="8">+J11+O11</f>
        <v>23911.79</v>
      </c>
      <c r="Q11" s="8">
        <f t="shared" si="3"/>
        <v>875</v>
      </c>
      <c r="R11" s="8"/>
      <c r="S11" s="8"/>
      <c r="T11" s="12">
        <f t="shared" ref="T11:T16" si="9">+SUM(Q11:S11)</f>
        <v>875</v>
      </c>
      <c r="U11" s="13">
        <f t="shared" ref="U11:U16" si="10">+P11-T11</f>
        <v>23036.79</v>
      </c>
    </row>
    <row r="12" spans="1:21" x14ac:dyDescent="0.2">
      <c r="A12" s="52"/>
      <c r="B12" s="6">
        <v>6</v>
      </c>
      <c r="C12" s="7" t="s">
        <v>68</v>
      </c>
      <c r="D12" s="8">
        <v>13818.18</v>
      </c>
      <c r="E12" s="8">
        <v>5181.82</v>
      </c>
      <c r="F12" s="8"/>
      <c r="G12" s="8"/>
      <c r="H12" s="8">
        <v>1100</v>
      </c>
      <c r="I12" s="8">
        <v>1000</v>
      </c>
      <c r="J12" s="9">
        <f t="shared" si="6"/>
        <v>21100</v>
      </c>
      <c r="K12" s="8">
        <v>2797.57</v>
      </c>
      <c r="L12" s="8">
        <v>100</v>
      </c>
      <c r="M12" s="8">
        <v>500</v>
      </c>
      <c r="N12" s="8"/>
      <c r="O12" s="10">
        <f t="shared" si="7"/>
        <v>3397.57</v>
      </c>
      <c r="P12" s="11">
        <f t="shared" si="8"/>
        <v>24497.57</v>
      </c>
      <c r="Q12" s="8">
        <f t="shared" si="3"/>
        <v>875</v>
      </c>
      <c r="R12" s="8"/>
      <c r="S12" s="8"/>
      <c r="T12" s="12">
        <f t="shared" si="9"/>
        <v>875</v>
      </c>
      <c r="U12" s="13">
        <f t="shared" si="10"/>
        <v>23622.57</v>
      </c>
    </row>
    <row r="13" spans="1:21" x14ac:dyDescent="0.2">
      <c r="A13" s="52"/>
      <c r="B13" s="6">
        <v>7</v>
      </c>
      <c r="C13" s="7" t="s">
        <v>67</v>
      </c>
      <c r="D13" s="8">
        <f>14545.45</f>
        <v>14545.45</v>
      </c>
      <c r="E13" s="8">
        <f>5454.55</f>
        <v>5454.55</v>
      </c>
      <c r="F13" s="8"/>
      <c r="G13" s="8"/>
      <c r="H13" s="8">
        <f>1100</f>
        <v>1100</v>
      </c>
      <c r="I13" s="8"/>
      <c r="J13" s="9">
        <f t="shared" si="6"/>
        <v>21100</v>
      </c>
      <c r="K13" s="8"/>
      <c r="L13" s="8">
        <v>100</v>
      </c>
      <c r="M13" s="8">
        <v>321.43</v>
      </c>
      <c r="N13" s="8"/>
      <c r="O13" s="10">
        <f t="shared" ref="O13" si="11">+SUM(K13:N13)</f>
        <v>421.43</v>
      </c>
      <c r="P13" s="11">
        <f t="shared" ref="P13" si="12">+J13+O13</f>
        <v>21521.43</v>
      </c>
      <c r="Q13" s="8">
        <f t="shared" si="3"/>
        <v>875</v>
      </c>
      <c r="R13" s="8"/>
      <c r="S13" s="8"/>
      <c r="T13" s="12">
        <f t="shared" ref="T13" si="13">+SUM(Q13:S13)</f>
        <v>875</v>
      </c>
      <c r="U13" s="13">
        <f t="shared" ref="U13" si="14">+P13-T13</f>
        <v>20646.43</v>
      </c>
    </row>
    <row r="14" spans="1:21" x14ac:dyDescent="0.2">
      <c r="A14" s="52"/>
      <c r="B14" s="6">
        <v>8</v>
      </c>
      <c r="C14" s="7" t="s">
        <v>63</v>
      </c>
      <c r="D14" s="8">
        <v>11636.36</v>
      </c>
      <c r="E14" s="8">
        <v>4363.6400000000003</v>
      </c>
      <c r="F14" s="8"/>
      <c r="G14" s="8"/>
      <c r="H14" s="8">
        <v>1300</v>
      </c>
      <c r="I14" s="8"/>
      <c r="J14" s="9">
        <f t="shared" si="6"/>
        <v>17300</v>
      </c>
      <c r="K14" s="8">
        <v>3842.98</v>
      </c>
      <c r="L14" s="8">
        <v>200</v>
      </c>
      <c r="M14" s="8"/>
      <c r="N14" s="8"/>
      <c r="O14" s="10">
        <f t="shared" si="7"/>
        <v>4042.98</v>
      </c>
      <c r="P14" s="11">
        <f t="shared" si="8"/>
        <v>21342.98</v>
      </c>
      <c r="Q14" s="8">
        <f t="shared" si="3"/>
        <v>875</v>
      </c>
      <c r="R14" s="8"/>
      <c r="S14" s="8"/>
      <c r="T14" s="12">
        <f t="shared" si="9"/>
        <v>875</v>
      </c>
      <c r="U14" s="13">
        <f t="shared" si="10"/>
        <v>20467.98</v>
      </c>
    </row>
    <row r="15" spans="1:21" x14ac:dyDescent="0.2">
      <c r="A15" s="52"/>
      <c r="B15" s="6">
        <v>9</v>
      </c>
      <c r="C15" s="7" t="s">
        <v>64</v>
      </c>
      <c r="D15" s="8">
        <v>12363.64</v>
      </c>
      <c r="E15" s="8">
        <v>4636.3599999999997</v>
      </c>
      <c r="F15" s="8"/>
      <c r="G15" s="8"/>
      <c r="H15" s="8">
        <v>1100</v>
      </c>
      <c r="I15" s="8"/>
      <c r="J15" s="9">
        <f t="shared" si="6"/>
        <v>18100</v>
      </c>
      <c r="K15" s="8">
        <v>4269.97</v>
      </c>
      <c r="L15" s="8">
        <v>200</v>
      </c>
      <c r="M15" s="8"/>
      <c r="N15" s="8"/>
      <c r="O15" s="10">
        <f t="shared" si="7"/>
        <v>4469.97</v>
      </c>
      <c r="P15" s="11">
        <f t="shared" si="8"/>
        <v>22569.97</v>
      </c>
      <c r="Q15" s="8">
        <f t="shared" si="3"/>
        <v>875</v>
      </c>
      <c r="R15" s="8"/>
      <c r="S15" s="8"/>
      <c r="T15" s="12">
        <f t="shared" si="9"/>
        <v>875</v>
      </c>
      <c r="U15" s="13">
        <f t="shared" si="10"/>
        <v>21694.97</v>
      </c>
    </row>
    <row r="16" spans="1:21" x14ac:dyDescent="0.2">
      <c r="A16" s="52"/>
      <c r="B16" s="6">
        <v>10</v>
      </c>
      <c r="C16" s="7" t="s">
        <v>65</v>
      </c>
      <c r="D16" s="8">
        <v>12363.64</v>
      </c>
      <c r="E16" s="8">
        <v>4636.3599999999997</v>
      </c>
      <c r="F16" s="8"/>
      <c r="G16" s="8"/>
      <c r="H16" s="8">
        <v>1100</v>
      </c>
      <c r="I16" s="8"/>
      <c r="J16" s="9">
        <f t="shared" si="6"/>
        <v>18100</v>
      </c>
      <c r="K16" s="8">
        <v>4122.7299999999996</v>
      </c>
      <c r="L16" s="8">
        <v>200</v>
      </c>
      <c r="M16" s="8"/>
      <c r="N16" s="8"/>
      <c r="O16" s="10">
        <f t="shared" si="7"/>
        <v>4322.7299999999996</v>
      </c>
      <c r="P16" s="11">
        <f t="shared" si="8"/>
        <v>22422.73</v>
      </c>
      <c r="Q16" s="8">
        <f t="shared" si="3"/>
        <v>875</v>
      </c>
      <c r="R16" s="8"/>
      <c r="S16" s="8"/>
      <c r="T16" s="12">
        <f t="shared" si="9"/>
        <v>875</v>
      </c>
      <c r="U16" s="13">
        <f t="shared" si="10"/>
        <v>21547.73</v>
      </c>
    </row>
    <row r="17" spans="1:21" x14ac:dyDescent="0.2">
      <c r="A17" s="41" t="s">
        <v>37</v>
      </c>
      <c r="B17" s="41"/>
      <c r="C17" s="41"/>
      <c r="D17" s="14">
        <f t="shared" ref="D17:U17" si="15">+SUM(D7:D16)</f>
        <v>135272.72</v>
      </c>
      <c r="E17" s="14">
        <f t="shared" si="15"/>
        <v>50727.28</v>
      </c>
      <c r="F17" s="14">
        <f t="shared" si="15"/>
        <v>0</v>
      </c>
      <c r="G17" s="14">
        <f t="shared" si="15"/>
        <v>0</v>
      </c>
      <c r="H17" s="14">
        <f t="shared" si="15"/>
        <v>11800</v>
      </c>
      <c r="I17" s="14">
        <f t="shared" si="15"/>
        <v>1000</v>
      </c>
      <c r="J17" s="14">
        <f t="shared" si="15"/>
        <v>198800</v>
      </c>
      <c r="K17" s="14">
        <f t="shared" si="15"/>
        <v>35352.43</v>
      </c>
      <c r="L17" s="14">
        <f t="shared" si="15"/>
        <v>1978.18</v>
      </c>
      <c r="M17" s="14">
        <f t="shared" si="15"/>
        <v>1821.43</v>
      </c>
      <c r="N17" s="14">
        <f t="shared" si="15"/>
        <v>790.91</v>
      </c>
      <c r="O17" s="14">
        <f t="shared" si="15"/>
        <v>39942.949999999997</v>
      </c>
      <c r="P17" s="14">
        <f t="shared" si="15"/>
        <v>238742.95000000004</v>
      </c>
      <c r="Q17" s="14">
        <f t="shared" si="15"/>
        <v>8750</v>
      </c>
      <c r="R17" s="14">
        <f t="shared" si="15"/>
        <v>0</v>
      </c>
      <c r="S17" s="14">
        <f t="shared" si="15"/>
        <v>0</v>
      </c>
      <c r="T17" s="14">
        <f t="shared" si="15"/>
        <v>8750</v>
      </c>
      <c r="U17" s="14">
        <f t="shared" si="15"/>
        <v>229992.95000000004</v>
      </c>
    </row>
    <row r="19" spans="1:21" x14ac:dyDescent="0.2">
      <c r="A19" s="52" t="s">
        <v>25</v>
      </c>
      <c r="B19" s="46" t="s">
        <v>5</v>
      </c>
      <c r="C19" s="46" t="s">
        <v>6</v>
      </c>
      <c r="D19" s="46" t="s">
        <v>21</v>
      </c>
      <c r="E19" s="46"/>
      <c r="F19" s="46"/>
      <c r="G19" s="46"/>
      <c r="H19" s="46"/>
      <c r="I19" s="46"/>
      <c r="J19" s="46" t="s">
        <v>11</v>
      </c>
      <c r="K19" s="46" t="s">
        <v>14</v>
      </c>
      <c r="L19" s="46"/>
      <c r="M19" s="46"/>
      <c r="N19" s="46"/>
      <c r="O19" s="47" t="s">
        <v>29</v>
      </c>
      <c r="P19" s="46" t="s">
        <v>18</v>
      </c>
      <c r="Q19" s="46" t="s">
        <v>26</v>
      </c>
      <c r="R19" s="46" t="s">
        <v>23</v>
      </c>
      <c r="S19" s="46" t="s">
        <v>40</v>
      </c>
    </row>
    <row r="20" spans="1:21" x14ac:dyDescent="0.2">
      <c r="A20" s="52"/>
      <c r="B20" s="46"/>
      <c r="C20" s="46"/>
      <c r="D20" s="17" t="s">
        <v>55</v>
      </c>
      <c r="E20" s="17" t="s">
        <v>8</v>
      </c>
      <c r="F20" s="17" t="s">
        <v>9</v>
      </c>
      <c r="G20" s="17" t="s">
        <v>10</v>
      </c>
      <c r="H20" s="17" t="s">
        <v>12</v>
      </c>
      <c r="I20" s="17" t="s">
        <v>13</v>
      </c>
      <c r="J20" s="46"/>
      <c r="K20" s="17" t="s">
        <v>15</v>
      </c>
      <c r="L20" s="17" t="s">
        <v>16</v>
      </c>
      <c r="M20" s="5" t="s">
        <v>43</v>
      </c>
      <c r="N20" s="17" t="s">
        <v>17</v>
      </c>
      <c r="O20" s="47"/>
      <c r="P20" s="46"/>
      <c r="Q20" s="46"/>
      <c r="R20" s="46"/>
      <c r="S20" s="46"/>
    </row>
    <row r="21" spans="1:21" x14ac:dyDescent="0.2">
      <c r="A21" s="52"/>
      <c r="B21" s="6">
        <v>1</v>
      </c>
      <c r="C21" s="32" t="s">
        <v>153</v>
      </c>
      <c r="D21" s="33">
        <v>49000</v>
      </c>
      <c r="E21" s="33"/>
      <c r="F21" s="33"/>
      <c r="G21" s="33"/>
      <c r="H21" s="33"/>
      <c r="I21" s="33"/>
      <c r="J21" s="10">
        <f t="shared" ref="J21:J25" si="16">+SUM(D21:I21)</f>
        <v>49000</v>
      </c>
      <c r="K21" s="6"/>
      <c r="L21" s="6"/>
      <c r="M21" s="4"/>
      <c r="N21" s="6"/>
      <c r="O21" s="10">
        <f t="shared" ref="O21:O25" si="17">+SUM(K21:N21)</f>
        <v>0</v>
      </c>
      <c r="P21" s="22">
        <f t="shared" ref="P21:P25" si="18">+J21+O21</f>
        <v>49000</v>
      </c>
      <c r="Q21" s="18">
        <f t="shared" ref="Q21:Q25" si="19">IF(P21 &lt; 1000, 0, P21 * 3%)</f>
        <v>1470</v>
      </c>
      <c r="R21" s="23">
        <f t="shared" ref="R21:R25" si="20">+P21-Q21</f>
        <v>47530</v>
      </c>
      <c r="S21" s="55">
        <v>244443</v>
      </c>
    </row>
    <row r="22" spans="1:21" x14ac:dyDescent="0.2">
      <c r="A22" s="52"/>
      <c r="B22" s="6">
        <v>2</v>
      </c>
      <c r="C22" s="32" t="s">
        <v>150</v>
      </c>
      <c r="D22" s="33">
        <v>30000</v>
      </c>
      <c r="E22" s="33"/>
      <c r="F22" s="33"/>
      <c r="G22" s="33"/>
      <c r="H22" s="33"/>
      <c r="I22" s="33"/>
      <c r="J22" s="10">
        <f t="shared" si="16"/>
        <v>30000</v>
      </c>
      <c r="K22" s="6"/>
      <c r="L22" s="6"/>
      <c r="M22" s="4"/>
      <c r="N22" s="6"/>
      <c r="O22" s="10">
        <f t="shared" si="17"/>
        <v>0</v>
      </c>
      <c r="P22" s="22">
        <f t="shared" si="18"/>
        <v>30000</v>
      </c>
      <c r="Q22" s="18">
        <f t="shared" si="19"/>
        <v>900</v>
      </c>
      <c r="R22" s="23">
        <f t="shared" si="20"/>
        <v>29100</v>
      </c>
      <c r="S22" s="58"/>
    </row>
    <row r="23" spans="1:21" x14ac:dyDescent="0.2">
      <c r="A23" s="52"/>
      <c r="B23" s="6">
        <v>3</v>
      </c>
      <c r="C23" s="32" t="s">
        <v>147</v>
      </c>
      <c r="D23" s="33">
        <v>30000</v>
      </c>
      <c r="E23" s="33"/>
      <c r="F23" s="33"/>
      <c r="G23" s="33"/>
      <c r="H23" s="33"/>
      <c r="I23" s="33"/>
      <c r="J23" s="10">
        <f t="shared" si="16"/>
        <v>30000</v>
      </c>
      <c r="K23" s="6"/>
      <c r="L23" s="6"/>
      <c r="M23" s="4"/>
      <c r="N23" s="6"/>
      <c r="O23" s="10">
        <f t="shared" si="17"/>
        <v>0</v>
      </c>
      <c r="P23" s="22">
        <f t="shared" si="18"/>
        <v>30000</v>
      </c>
      <c r="Q23" s="18">
        <f t="shared" si="19"/>
        <v>900</v>
      </c>
      <c r="R23" s="23">
        <f t="shared" si="20"/>
        <v>29100</v>
      </c>
      <c r="S23" s="58"/>
    </row>
    <row r="24" spans="1:21" x14ac:dyDescent="0.2">
      <c r="A24" s="52"/>
      <c r="B24" s="6">
        <v>4</v>
      </c>
      <c r="C24" s="32" t="s">
        <v>151</v>
      </c>
      <c r="D24" s="33">
        <v>20000</v>
      </c>
      <c r="E24" s="33"/>
      <c r="F24" s="33"/>
      <c r="G24" s="33"/>
      <c r="H24" s="33"/>
      <c r="I24" s="33"/>
      <c r="J24" s="10">
        <f t="shared" si="16"/>
        <v>20000</v>
      </c>
      <c r="K24" s="6"/>
      <c r="L24" s="6"/>
      <c r="M24" s="4"/>
      <c r="N24" s="6"/>
      <c r="O24" s="10">
        <f t="shared" si="17"/>
        <v>0</v>
      </c>
      <c r="P24" s="22">
        <f t="shared" si="18"/>
        <v>20000</v>
      </c>
      <c r="Q24" s="18">
        <f t="shared" si="19"/>
        <v>600</v>
      </c>
      <c r="R24" s="23">
        <f t="shared" si="20"/>
        <v>19400</v>
      </c>
      <c r="S24" s="58"/>
    </row>
    <row r="25" spans="1:21" x14ac:dyDescent="0.2">
      <c r="A25" s="52"/>
      <c r="B25" s="6">
        <v>5</v>
      </c>
      <c r="C25" s="32" t="s">
        <v>154</v>
      </c>
      <c r="D25" s="33">
        <v>49000</v>
      </c>
      <c r="E25" s="33"/>
      <c r="F25" s="33"/>
      <c r="G25" s="33"/>
      <c r="H25" s="33"/>
      <c r="I25" s="33"/>
      <c r="J25" s="10">
        <f t="shared" si="16"/>
        <v>49000</v>
      </c>
      <c r="K25" s="6"/>
      <c r="L25" s="6"/>
      <c r="M25" s="4"/>
      <c r="N25" s="6"/>
      <c r="O25" s="10">
        <f t="shared" si="17"/>
        <v>0</v>
      </c>
      <c r="P25" s="22">
        <f t="shared" si="18"/>
        <v>49000</v>
      </c>
      <c r="Q25" s="18">
        <f t="shared" si="19"/>
        <v>1470</v>
      </c>
      <c r="R25" s="23">
        <f t="shared" si="20"/>
        <v>47530</v>
      </c>
      <c r="S25" s="59"/>
    </row>
    <row r="26" spans="1:21" x14ac:dyDescent="0.2">
      <c r="A26" s="52"/>
      <c r="B26" s="6">
        <v>6</v>
      </c>
      <c r="C26" s="7" t="s">
        <v>41</v>
      </c>
      <c r="D26" s="8"/>
      <c r="E26" s="8"/>
      <c r="F26" s="8"/>
      <c r="G26" s="8"/>
      <c r="H26" s="8"/>
      <c r="I26" s="8"/>
      <c r="J26" s="10">
        <f>+SUM(D26:I26)</f>
        <v>0</v>
      </c>
      <c r="K26" s="8">
        <v>6625.82</v>
      </c>
      <c r="L26" s="8"/>
      <c r="M26" s="8"/>
      <c r="N26" s="8"/>
      <c r="O26" s="10">
        <f>+SUM(K26:N26)</f>
        <v>6625.82</v>
      </c>
      <c r="P26" s="22">
        <f>+J26+O26</f>
        <v>6625.82</v>
      </c>
      <c r="Q26" s="18">
        <f>IF(P26 &lt; 1000, 0, P26 * 3%)</f>
        <v>198.77459999999999</v>
      </c>
      <c r="R26" s="23">
        <f>+P26-Q26</f>
        <v>6427.0454</v>
      </c>
      <c r="S26" s="44">
        <v>244444</v>
      </c>
    </row>
    <row r="27" spans="1:21" x14ac:dyDescent="0.2">
      <c r="A27" s="52"/>
      <c r="B27" s="6">
        <v>7</v>
      </c>
      <c r="C27" s="7" t="s">
        <v>42</v>
      </c>
      <c r="D27" s="8"/>
      <c r="E27" s="8"/>
      <c r="F27" s="8"/>
      <c r="G27" s="8"/>
      <c r="H27" s="8"/>
      <c r="I27" s="8"/>
      <c r="J27" s="10">
        <f t="shared" ref="J27:J28" si="21">+SUM(D27:I27)</f>
        <v>0</v>
      </c>
      <c r="K27" s="8">
        <v>1325.16</v>
      </c>
      <c r="L27" s="8"/>
      <c r="M27" s="8"/>
      <c r="N27" s="8"/>
      <c r="O27" s="10">
        <f t="shared" ref="O27" si="22">+SUM(K27:N27)</f>
        <v>1325.16</v>
      </c>
      <c r="P27" s="22">
        <f t="shared" ref="P27" si="23">+J27+O27</f>
        <v>1325.16</v>
      </c>
      <c r="Q27" s="18">
        <f t="shared" ref="Q27" si="24">IF(P27 &lt; 1000, 0, P27 * 3%)</f>
        <v>39.754800000000003</v>
      </c>
      <c r="R27" s="23">
        <f t="shared" ref="R27" si="25">+P27-Q27</f>
        <v>1285.4052000000001</v>
      </c>
      <c r="S27" s="45"/>
    </row>
    <row r="28" spans="1:21" x14ac:dyDescent="0.2">
      <c r="A28" s="52"/>
      <c r="B28" s="6">
        <v>10</v>
      </c>
      <c r="C28" s="7" t="s">
        <v>42</v>
      </c>
      <c r="D28" s="8">
        <v>8000</v>
      </c>
      <c r="E28" s="8"/>
      <c r="F28" s="8"/>
      <c r="G28" s="8"/>
      <c r="H28" s="8"/>
      <c r="I28" s="8"/>
      <c r="J28" s="10">
        <f t="shared" si="21"/>
        <v>8000</v>
      </c>
      <c r="K28" s="8"/>
      <c r="L28" s="8"/>
      <c r="M28" s="8"/>
      <c r="N28" s="8"/>
      <c r="O28" s="10">
        <f t="shared" ref="O28" si="26">+SUM(K28:N28)</f>
        <v>0</v>
      </c>
      <c r="P28" s="22">
        <f t="shared" ref="P28" si="27">+J28+O28</f>
        <v>8000</v>
      </c>
      <c r="Q28" s="18">
        <f t="shared" ref="Q28" si="28">IF(P28 &lt; 1000, 0, P28 * 3%)</f>
        <v>240</v>
      </c>
      <c r="R28" s="23">
        <f t="shared" ref="R28" si="29">+P28-Q28</f>
        <v>7760</v>
      </c>
      <c r="S28" s="24">
        <v>244469</v>
      </c>
    </row>
    <row r="29" spans="1:21" x14ac:dyDescent="0.2">
      <c r="A29" s="41" t="s">
        <v>39</v>
      </c>
      <c r="B29" s="41"/>
      <c r="C29" s="41"/>
      <c r="D29" s="15">
        <f t="shared" ref="D29:R29" si="30">+SUM(D21:D28)</f>
        <v>186000</v>
      </c>
      <c r="E29" s="15">
        <f t="shared" si="30"/>
        <v>0</v>
      </c>
      <c r="F29" s="15">
        <f t="shared" si="30"/>
        <v>0</v>
      </c>
      <c r="G29" s="15">
        <f t="shared" si="30"/>
        <v>0</v>
      </c>
      <c r="H29" s="15">
        <f t="shared" si="30"/>
        <v>0</v>
      </c>
      <c r="I29" s="15">
        <f t="shared" si="30"/>
        <v>0</v>
      </c>
      <c r="J29" s="15">
        <f t="shared" si="30"/>
        <v>186000</v>
      </c>
      <c r="K29" s="15">
        <f t="shared" si="30"/>
        <v>7950.98</v>
      </c>
      <c r="L29" s="15">
        <f t="shared" si="30"/>
        <v>0</v>
      </c>
      <c r="M29" s="15">
        <f t="shared" si="30"/>
        <v>0</v>
      </c>
      <c r="N29" s="15">
        <f t="shared" si="30"/>
        <v>0</v>
      </c>
      <c r="O29" s="15">
        <f t="shared" si="30"/>
        <v>7950.98</v>
      </c>
      <c r="P29" s="15">
        <f t="shared" si="30"/>
        <v>193950.98</v>
      </c>
      <c r="Q29" s="15">
        <f t="shared" si="30"/>
        <v>5818.5293999999994</v>
      </c>
      <c r="R29" s="15">
        <f t="shared" si="30"/>
        <v>188132.45060000001</v>
      </c>
      <c r="S29" s="15"/>
    </row>
  </sheetData>
  <mergeCells count="29">
    <mergeCell ref="S21:S25"/>
    <mergeCell ref="A29:C29"/>
    <mergeCell ref="S26:S27"/>
    <mergeCell ref="K19:N19"/>
    <mergeCell ref="O19:O20"/>
    <mergeCell ref="P19:P20"/>
    <mergeCell ref="Q19:Q20"/>
    <mergeCell ref="R19:R20"/>
    <mergeCell ref="S19:S20"/>
    <mergeCell ref="A19:A28"/>
    <mergeCell ref="B19:B20"/>
    <mergeCell ref="C19:C20"/>
    <mergeCell ref="D19:I19"/>
    <mergeCell ref="J19:J20"/>
    <mergeCell ref="T5:T6"/>
    <mergeCell ref="U5:U6"/>
    <mergeCell ref="A17:C17"/>
    <mergeCell ref="D5:I5"/>
    <mergeCell ref="J5:J6"/>
    <mergeCell ref="K5:N5"/>
    <mergeCell ref="O5:O6"/>
    <mergeCell ref="P5:P6"/>
    <mergeCell ref="Q5:S5"/>
    <mergeCell ref="C5:C6"/>
    <mergeCell ref="A1:B1"/>
    <mergeCell ref="A2:B2"/>
    <mergeCell ref="A3:B3"/>
    <mergeCell ref="A5:A16"/>
    <mergeCell ref="B5:B6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21</xdr:col>
                    <xdr:colOff>209550</xdr:colOff>
                    <xdr:row>6</xdr:row>
                    <xdr:rowOff>19050</xdr:rowOff>
                  </from>
                  <to>
                    <xdr:col>21</xdr:col>
                    <xdr:colOff>638175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21</xdr:col>
                    <xdr:colOff>209550</xdr:colOff>
                    <xdr:row>6</xdr:row>
                    <xdr:rowOff>19050</xdr:rowOff>
                  </from>
                  <to>
                    <xdr:col>21</xdr:col>
                    <xdr:colOff>638175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21</xdr:col>
                    <xdr:colOff>209550</xdr:colOff>
                    <xdr:row>7</xdr:row>
                    <xdr:rowOff>19050</xdr:rowOff>
                  </from>
                  <to>
                    <xdr:col>21</xdr:col>
                    <xdr:colOff>638175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21</xdr:col>
                    <xdr:colOff>209550</xdr:colOff>
                    <xdr:row>7</xdr:row>
                    <xdr:rowOff>19050</xdr:rowOff>
                  </from>
                  <to>
                    <xdr:col>21</xdr:col>
                    <xdr:colOff>638175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21</xdr:col>
                    <xdr:colOff>209550</xdr:colOff>
                    <xdr:row>8</xdr:row>
                    <xdr:rowOff>19050</xdr:rowOff>
                  </from>
                  <to>
                    <xdr:col>21</xdr:col>
                    <xdr:colOff>638175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21</xdr:col>
                    <xdr:colOff>209550</xdr:colOff>
                    <xdr:row>8</xdr:row>
                    <xdr:rowOff>19050</xdr:rowOff>
                  </from>
                  <to>
                    <xdr:col>21</xdr:col>
                    <xdr:colOff>638175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21</xdr:col>
                    <xdr:colOff>209550</xdr:colOff>
                    <xdr:row>9</xdr:row>
                    <xdr:rowOff>19050</xdr:rowOff>
                  </from>
                  <to>
                    <xdr:col>21</xdr:col>
                    <xdr:colOff>638175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21</xdr:col>
                    <xdr:colOff>209550</xdr:colOff>
                    <xdr:row>9</xdr:row>
                    <xdr:rowOff>19050</xdr:rowOff>
                  </from>
                  <to>
                    <xdr:col>21</xdr:col>
                    <xdr:colOff>638175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21</xdr:col>
                    <xdr:colOff>209550</xdr:colOff>
                    <xdr:row>10</xdr:row>
                    <xdr:rowOff>19050</xdr:rowOff>
                  </from>
                  <to>
                    <xdr:col>21</xdr:col>
                    <xdr:colOff>638175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21</xdr:col>
                    <xdr:colOff>209550</xdr:colOff>
                    <xdr:row>10</xdr:row>
                    <xdr:rowOff>19050</xdr:rowOff>
                  </from>
                  <to>
                    <xdr:col>21</xdr:col>
                    <xdr:colOff>638175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>
                <anchor moveWithCells="1">
                  <from>
                    <xdr:col>21</xdr:col>
                    <xdr:colOff>209550</xdr:colOff>
                    <xdr:row>11</xdr:row>
                    <xdr:rowOff>19050</xdr:rowOff>
                  </from>
                  <to>
                    <xdr:col>21</xdr:col>
                    <xdr:colOff>638175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>
                <anchor moveWithCells="1">
                  <from>
                    <xdr:col>21</xdr:col>
                    <xdr:colOff>209550</xdr:colOff>
                    <xdr:row>11</xdr:row>
                    <xdr:rowOff>19050</xdr:rowOff>
                  </from>
                  <to>
                    <xdr:col>21</xdr:col>
                    <xdr:colOff>638175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3">
              <controlPr defaultSize="0" autoFill="0" autoLine="0" autoPict="0">
                <anchor moveWithCells="1">
                  <from>
                    <xdr:col>21</xdr:col>
                    <xdr:colOff>209550</xdr:colOff>
                    <xdr:row>12</xdr:row>
                    <xdr:rowOff>19050</xdr:rowOff>
                  </from>
                  <to>
                    <xdr:col>21</xdr:col>
                    <xdr:colOff>638175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4">
              <controlPr defaultSize="0" autoFill="0" autoLine="0" autoPict="0">
                <anchor moveWithCells="1">
                  <from>
                    <xdr:col>21</xdr:col>
                    <xdr:colOff>209550</xdr:colOff>
                    <xdr:row>12</xdr:row>
                    <xdr:rowOff>19050</xdr:rowOff>
                  </from>
                  <to>
                    <xdr:col>21</xdr:col>
                    <xdr:colOff>638175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5">
              <controlPr defaultSize="0" autoFill="0" autoLine="0" autoPict="0">
                <anchor moveWithCells="1">
                  <from>
                    <xdr:col>21</xdr:col>
                    <xdr:colOff>209550</xdr:colOff>
                    <xdr:row>13</xdr:row>
                    <xdr:rowOff>19050</xdr:rowOff>
                  </from>
                  <to>
                    <xdr:col>21</xdr:col>
                    <xdr:colOff>638175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6">
              <controlPr defaultSize="0" autoFill="0" autoLine="0" autoPict="0">
                <anchor moveWithCells="1">
                  <from>
                    <xdr:col>21</xdr:col>
                    <xdr:colOff>209550</xdr:colOff>
                    <xdr:row>13</xdr:row>
                    <xdr:rowOff>19050</xdr:rowOff>
                  </from>
                  <to>
                    <xdr:col>21</xdr:col>
                    <xdr:colOff>638175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7">
              <controlPr defaultSize="0" autoFill="0" autoLine="0" autoPict="0">
                <anchor moveWithCells="1">
                  <from>
                    <xdr:col>21</xdr:col>
                    <xdr:colOff>209550</xdr:colOff>
                    <xdr:row>14</xdr:row>
                    <xdr:rowOff>19050</xdr:rowOff>
                  </from>
                  <to>
                    <xdr:col>21</xdr:col>
                    <xdr:colOff>638175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8">
              <controlPr defaultSize="0" autoFill="0" autoLine="0" autoPict="0">
                <anchor moveWithCells="1">
                  <from>
                    <xdr:col>21</xdr:col>
                    <xdr:colOff>209550</xdr:colOff>
                    <xdr:row>14</xdr:row>
                    <xdr:rowOff>19050</xdr:rowOff>
                  </from>
                  <to>
                    <xdr:col>21</xdr:col>
                    <xdr:colOff>638175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9">
              <controlPr defaultSize="0" autoFill="0" autoLine="0" autoPict="0">
                <anchor moveWithCells="1">
                  <from>
                    <xdr:col>21</xdr:col>
                    <xdr:colOff>209550</xdr:colOff>
                    <xdr:row>15</xdr:row>
                    <xdr:rowOff>19050</xdr:rowOff>
                  </from>
                  <to>
                    <xdr:col>21</xdr:col>
                    <xdr:colOff>638175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Check Box 20">
              <controlPr defaultSize="0" autoFill="0" autoLine="0" autoPict="0">
                <anchor moveWithCells="1">
                  <from>
                    <xdr:col>21</xdr:col>
                    <xdr:colOff>209550</xdr:colOff>
                    <xdr:row>15</xdr:row>
                    <xdr:rowOff>19050</xdr:rowOff>
                  </from>
                  <to>
                    <xdr:col>21</xdr:col>
                    <xdr:colOff>638175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4" name="Check Box 23">
              <controlPr defaultSize="0" autoFill="0" autoLine="0" autoPict="0">
                <anchor moveWithCells="1">
                  <from>
                    <xdr:col>19</xdr:col>
                    <xdr:colOff>209550</xdr:colOff>
                    <xdr:row>20</xdr:row>
                    <xdr:rowOff>19050</xdr:rowOff>
                  </from>
                  <to>
                    <xdr:col>19</xdr:col>
                    <xdr:colOff>638175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5" name="Check Box 24">
              <controlPr defaultSize="0" autoFill="0" autoLine="0" autoPict="0">
                <anchor moveWithCells="1">
                  <from>
                    <xdr:col>19</xdr:col>
                    <xdr:colOff>209550</xdr:colOff>
                    <xdr:row>20</xdr:row>
                    <xdr:rowOff>19050</xdr:rowOff>
                  </from>
                  <to>
                    <xdr:col>19</xdr:col>
                    <xdr:colOff>638175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6" name="Check Box 25">
              <controlPr defaultSize="0" autoFill="0" autoLine="0" autoPict="0">
                <anchor moveWithCells="1">
                  <from>
                    <xdr:col>19</xdr:col>
                    <xdr:colOff>209550</xdr:colOff>
                    <xdr:row>21</xdr:row>
                    <xdr:rowOff>19050</xdr:rowOff>
                  </from>
                  <to>
                    <xdr:col>19</xdr:col>
                    <xdr:colOff>638175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7" name="Check Box 26">
              <controlPr defaultSize="0" autoFill="0" autoLine="0" autoPict="0">
                <anchor moveWithCells="1">
                  <from>
                    <xdr:col>19</xdr:col>
                    <xdr:colOff>209550</xdr:colOff>
                    <xdr:row>21</xdr:row>
                    <xdr:rowOff>19050</xdr:rowOff>
                  </from>
                  <to>
                    <xdr:col>19</xdr:col>
                    <xdr:colOff>638175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8" name="Check Box 27">
              <controlPr defaultSize="0" autoFill="0" autoLine="0" autoPict="0">
                <anchor moveWithCells="1">
                  <from>
                    <xdr:col>19</xdr:col>
                    <xdr:colOff>209550</xdr:colOff>
                    <xdr:row>22</xdr:row>
                    <xdr:rowOff>19050</xdr:rowOff>
                  </from>
                  <to>
                    <xdr:col>19</xdr:col>
                    <xdr:colOff>638175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9" name="Check Box 28">
              <controlPr defaultSize="0" autoFill="0" autoLine="0" autoPict="0">
                <anchor moveWithCells="1">
                  <from>
                    <xdr:col>19</xdr:col>
                    <xdr:colOff>209550</xdr:colOff>
                    <xdr:row>22</xdr:row>
                    <xdr:rowOff>19050</xdr:rowOff>
                  </from>
                  <to>
                    <xdr:col>19</xdr:col>
                    <xdr:colOff>638175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0" name="Check Box 29">
              <controlPr defaultSize="0" autoFill="0" autoLine="0" autoPict="0">
                <anchor moveWithCells="1">
                  <from>
                    <xdr:col>19</xdr:col>
                    <xdr:colOff>209550</xdr:colOff>
                    <xdr:row>23</xdr:row>
                    <xdr:rowOff>19050</xdr:rowOff>
                  </from>
                  <to>
                    <xdr:col>19</xdr:col>
                    <xdr:colOff>638175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1" name="Check Box 30">
              <controlPr defaultSize="0" autoFill="0" autoLine="0" autoPict="0">
                <anchor moveWithCells="1">
                  <from>
                    <xdr:col>19</xdr:col>
                    <xdr:colOff>209550</xdr:colOff>
                    <xdr:row>23</xdr:row>
                    <xdr:rowOff>19050</xdr:rowOff>
                  </from>
                  <to>
                    <xdr:col>19</xdr:col>
                    <xdr:colOff>638175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2" name="Check Box 31">
              <controlPr defaultSize="0" autoFill="0" autoLine="0" autoPict="0">
                <anchor moveWithCells="1">
                  <from>
                    <xdr:col>19</xdr:col>
                    <xdr:colOff>209550</xdr:colOff>
                    <xdr:row>24</xdr:row>
                    <xdr:rowOff>19050</xdr:rowOff>
                  </from>
                  <to>
                    <xdr:col>19</xdr:col>
                    <xdr:colOff>638175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3" name="Check Box 32">
              <controlPr defaultSize="0" autoFill="0" autoLine="0" autoPict="0">
                <anchor moveWithCells="1">
                  <from>
                    <xdr:col>19</xdr:col>
                    <xdr:colOff>209550</xdr:colOff>
                    <xdr:row>24</xdr:row>
                    <xdr:rowOff>19050</xdr:rowOff>
                  </from>
                  <to>
                    <xdr:col>19</xdr:col>
                    <xdr:colOff>638175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4" name="Check Box 33">
              <controlPr defaultSize="0" autoFill="0" autoLine="0" autoPict="0">
                <anchor moveWithCells="1">
                  <from>
                    <xdr:col>19</xdr:col>
                    <xdr:colOff>209550</xdr:colOff>
                    <xdr:row>25</xdr:row>
                    <xdr:rowOff>19050</xdr:rowOff>
                  </from>
                  <to>
                    <xdr:col>19</xdr:col>
                    <xdr:colOff>638175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35" name="Check Box 34">
              <controlPr defaultSize="0" autoFill="0" autoLine="0" autoPict="0">
                <anchor moveWithCells="1">
                  <from>
                    <xdr:col>19</xdr:col>
                    <xdr:colOff>209550</xdr:colOff>
                    <xdr:row>25</xdr:row>
                    <xdr:rowOff>19050</xdr:rowOff>
                  </from>
                  <to>
                    <xdr:col>19</xdr:col>
                    <xdr:colOff>638175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36" name="Check Box 35">
              <controlPr defaultSize="0" autoFill="0" autoLine="0" autoPict="0">
                <anchor moveWithCells="1">
                  <from>
                    <xdr:col>19</xdr:col>
                    <xdr:colOff>209550</xdr:colOff>
                    <xdr:row>26</xdr:row>
                    <xdr:rowOff>19050</xdr:rowOff>
                  </from>
                  <to>
                    <xdr:col>19</xdr:col>
                    <xdr:colOff>638175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37" name="Check Box 36">
              <controlPr defaultSize="0" autoFill="0" autoLine="0" autoPict="0">
                <anchor moveWithCells="1">
                  <from>
                    <xdr:col>19</xdr:col>
                    <xdr:colOff>209550</xdr:colOff>
                    <xdr:row>26</xdr:row>
                    <xdr:rowOff>19050</xdr:rowOff>
                  </from>
                  <to>
                    <xdr:col>19</xdr:col>
                    <xdr:colOff>638175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38" name="Check Box 37">
              <controlPr defaultSize="0" autoFill="0" autoLine="0" autoPict="0">
                <anchor moveWithCells="1">
                  <from>
                    <xdr:col>19</xdr:col>
                    <xdr:colOff>209550</xdr:colOff>
                    <xdr:row>27</xdr:row>
                    <xdr:rowOff>0</xdr:rowOff>
                  </from>
                  <to>
                    <xdr:col>19</xdr:col>
                    <xdr:colOff>638175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39" name="Check Box 38">
              <controlPr defaultSize="0" autoFill="0" autoLine="0" autoPict="0">
                <anchor moveWithCells="1">
                  <from>
                    <xdr:col>19</xdr:col>
                    <xdr:colOff>209550</xdr:colOff>
                    <xdr:row>27</xdr:row>
                    <xdr:rowOff>0</xdr:rowOff>
                  </from>
                  <to>
                    <xdr:col>19</xdr:col>
                    <xdr:colOff>638175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40" name="Check Box 39">
              <controlPr defaultSize="0" autoFill="0" autoLine="0" autoPict="0">
                <anchor moveWithCells="1">
                  <from>
                    <xdr:col>19</xdr:col>
                    <xdr:colOff>209550</xdr:colOff>
                    <xdr:row>27</xdr:row>
                    <xdr:rowOff>0</xdr:rowOff>
                  </from>
                  <to>
                    <xdr:col>19</xdr:col>
                    <xdr:colOff>638175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41" name="Check Box 40">
              <controlPr defaultSize="0" autoFill="0" autoLine="0" autoPict="0">
                <anchor moveWithCells="1">
                  <from>
                    <xdr:col>19</xdr:col>
                    <xdr:colOff>209550</xdr:colOff>
                    <xdr:row>27</xdr:row>
                    <xdr:rowOff>0</xdr:rowOff>
                  </from>
                  <to>
                    <xdr:col>19</xdr:col>
                    <xdr:colOff>638175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42" name="Check Box 41">
              <controlPr defaultSize="0" autoFill="0" autoLine="0" autoPict="0">
                <anchor moveWithCells="1">
                  <from>
                    <xdr:col>19</xdr:col>
                    <xdr:colOff>209550</xdr:colOff>
                    <xdr:row>27</xdr:row>
                    <xdr:rowOff>19050</xdr:rowOff>
                  </from>
                  <to>
                    <xdr:col>19</xdr:col>
                    <xdr:colOff>638175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43" name="Check Box 42">
              <controlPr defaultSize="0" autoFill="0" autoLine="0" autoPict="0">
                <anchor moveWithCells="1">
                  <from>
                    <xdr:col>19</xdr:col>
                    <xdr:colOff>209550</xdr:colOff>
                    <xdr:row>27</xdr:row>
                    <xdr:rowOff>19050</xdr:rowOff>
                  </from>
                  <to>
                    <xdr:col>19</xdr:col>
                    <xdr:colOff>638175</xdr:colOff>
                    <xdr:row>27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21BA-E3E9-466A-BCC0-4FBFCF3147E4}">
  <sheetPr codeName="Sheet6">
    <tabColor rgb="FFFFC000"/>
    <pageSetUpPr fitToPage="1"/>
  </sheetPr>
  <dimension ref="A1:U25"/>
  <sheetViews>
    <sheetView topLeftCell="A3" zoomScale="85" zoomScaleNormal="85" workbookViewId="0">
      <selection activeCell="Q17" sqref="Q17"/>
    </sheetView>
  </sheetViews>
  <sheetFormatPr defaultColWidth="9" defaultRowHeight="21" x14ac:dyDescent="0.2"/>
  <cols>
    <col min="1" max="1" width="17.375" style="2" bestFit="1" customWidth="1"/>
    <col min="2" max="2" width="6.375" style="2" customWidth="1"/>
    <col min="3" max="3" width="32.625" style="2" bestFit="1" customWidth="1"/>
    <col min="4" max="4" width="9.875" style="2" bestFit="1" customWidth="1"/>
    <col min="5" max="9" width="9.375" style="2" customWidth="1"/>
    <col min="10" max="10" width="10.25" style="2" bestFit="1" customWidth="1"/>
    <col min="11" max="14" width="9.375" style="2" customWidth="1"/>
    <col min="15" max="15" width="10.375" style="2" customWidth="1"/>
    <col min="16" max="16" width="10.625" style="2" bestFit="1" customWidth="1"/>
    <col min="17" max="18" width="9.375" style="2" customWidth="1"/>
    <col min="19" max="19" width="9.625" style="2" customWidth="1"/>
    <col min="20" max="20" width="9.375" style="2" customWidth="1"/>
    <col min="21" max="21" width="10.375" style="2" bestFit="1" customWidth="1"/>
    <col min="22" max="16384" width="9" style="2"/>
  </cols>
  <sheetData>
    <row r="1" spans="1:21" x14ac:dyDescent="0.2">
      <c r="A1" s="38" t="s">
        <v>0</v>
      </c>
      <c r="B1" s="38"/>
      <c r="C1" s="1" t="s">
        <v>69</v>
      </c>
    </row>
    <row r="2" spans="1:21" x14ac:dyDescent="0.2">
      <c r="A2" s="38" t="s">
        <v>2</v>
      </c>
      <c r="B2" s="38"/>
      <c r="C2" s="3">
        <f>+ARI!C2</f>
        <v>244444</v>
      </c>
    </row>
    <row r="3" spans="1:21" x14ac:dyDescent="0.2">
      <c r="A3" s="38" t="s">
        <v>3</v>
      </c>
      <c r="B3" s="38"/>
      <c r="C3" s="3">
        <f>+ARI!C3</f>
        <v>244469</v>
      </c>
    </row>
    <row r="5" spans="1:21" x14ac:dyDescent="0.2">
      <c r="A5" s="52" t="s">
        <v>4</v>
      </c>
      <c r="B5" s="56" t="s">
        <v>5</v>
      </c>
      <c r="C5" s="56" t="s">
        <v>6</v>
      </c>
      <c r="D5" s="56" t="s">
        <v>21</v>
      </c>
      <c r="E5" s="56"/>
      <c r="F5" s="56"/>
      <c r="G5" s="56"/>
      <c r="H5" s="56"/>
      <c r="I5" s="56"/>
      <c r="J5" s="56" t="s">
        <v>11</v>
      </c>
      <c r="K5" s="56" t="s">
        <v>14</v>
      </c>
      <c r="L5" s="56"/>
      <c r="M5" s="56"/>
      <c r="N5" s="56"/>
      <c r="O5" s="57" t="s">
        <v>29</v>
      </c>
      <c r="P5" s="56" t="s">
        <v>18</v>
      </c>
      <c r="Q5" s="56" t="s">
        <v>19</v>
      </c>
      <c r="R5" s="56"/>
      <c r="S5" s="56"/>
      <c r="T5" s="57" t="s">
        <v>22</v>
      </c>
      <c r="U5" s="56" t="s">
        <v>23</v>
      </c>
    </row>
    <row r="6" spans="1:21" x14ac:dyDescent="0.2">
      <c r="A6" s="52"/>
      <c r="B6" s="56"/>
      <c r="C6" s="56"/>
      <c r="D6" s="30" t="s">
        <v>7</v>
      </c>
      <c r="E6" s="30" t="s">
        <v>8</v>
      </c>
      <c r="F6" s="30" t="s">
        <v>9</v>
      </c>
      <c r="G6" s="30" t="s">
        <v>10</v>
      </c>
      <c r="H6" s="30" t="s">
        <v>12</v>
      </c>
      <c r="I6" s="30" t="s">
        <v>13</v>
      </c>
      <c r="J6" s="56"/>
      <c r="K6" s="30" t="s">
        <v>15</v>
      </c>
      <c r="L6" s="30" t="s">
        <v>16</v>
      </c>
      <c r="M6" s="30" t="s">
        <v>43</v>
      </c>
      <c r="N6" s="30" t="s">
        <v>17</v>
      </c>
      <c r="O6" s="57"/>
      <c r="P6" s="56"/>
      <c r="Q6" s="30" t="s">
        <v>30</v>
      </c>
      <c r="R6" s="30" t="s">
        <v>31</v>
      </c>
      <c r="S6" s="30" t="s">
        <v>20</v>
      </c>
      <c r="T6" s="57"/>
      <c r="U6" s="56"/>
    </row>
    <row r="7" spans="1:21" x14ac:dyDescent="0.2">
      <c r="A7" s="52"/>
      <c r="B7" s="6">
        <v>1</v>
      </c>
      <c r="C7" s="7" t="s">
        <v>74</v>
      </c>
      <c r="D7" s="8">
        <v>13090.91</v>
      </c>
      <c r="E7" s="8">
        <v>4909.09</v>
      </c>
      <c r="F7" s="8"/>
      <c r="G7" s="8"/>
      <c r="H7" s="8">
        <v>1300</v>
      </c>
      <c r="I7" s="8"/>
      <c r="J7" s="9">
        <f>+SUM(D7:I7)</f>
        <v>19300</v>
      </c>
      <c r="K7" s="8">
        <f>2300-600</f>
        <v>1700</v>
      </c>
      <c r="L7" s="8">
        <v>100</v>
      </c>
      <c r="M7" s="8"/>
      <c r="N7" s="8">
        <v>204.55</v>
      </c>
      <c r="O7" s="10">
        <f>+SUM(K7:N7)</f>
        <v>2004.55</v>
      </c>
      <c r="P7" s="11">
        <f>+J7+O7</f>
        <v>21304.55</v>
      </c>
      <c r="Q7" s="8">
        <f>ROUND(IF((J7+K7)&gt;17500, 875, (J7+K7)*5%), 0)</f>
        <v>875</v>
      </c>
      <c r="R7" s="8"/>
      <c r="S7" s="8"/>
      <c r="T7" s="12">
        <f>+SUM(Q7:S7)</f>
        <v>875</v>
      </c>
      <c r="U7" s="13">
        <f>+P7-T7</f>
        <v>20429.55</v>
      </c>
    </row>
    <row r="8" spans="1:21" x14ac:dyDescent="0.2">
      <c r="A8" s="52"/>
      <c r="B8" s="6">
        <v>2</v>
      </c>
      <c r="C8" s="7" t="s">
        <v>75</v>
      </c>
      <c r="D8" s="8">
        <v>13090.91</v>
      </c>
      <c r="E8" s="8">
        <v>4909.09</v>
      </c>
      <c r="F8" s="8"/>
      <c r="G8" s="8"/>
      <c r="H8" s="8">
        <v>1100</v>
      </c>
      <c r="I8" s="8"/>
      <c r="J8" s="9">
        <f t="shared" ref="J8:J17" si="0">+SUM(D8:I8)</f>
        <v>19100</v>
      </c>
      <c r="K8" s="8">
        <v>2800</v>
      </c>
      <c r="L8" s="8">
        <v>100</v>
      </c>
      <c r="M8" s="8"/>
      <c r="N8" s="8">
        <v>327.27</v>
      </c>
      <c r="O8" s="10">
        <f t="shared" ref="O8:O17" si="1">+SUM(K8:N8)</f>
        <v>3227.27</v>
      </c>
      <c r="P8" s="11">
        <f t="shared" ref="P8:P17" si="2">+J8+O8</f>
        <v>22327.27</v>
      </c>
      <c r="Q8" s="8">
        <f t="shared" ref="Q8:Q17" si="3">ROUND(IF((J8+K8)&gt;17500, 875, (J8+K8)*5%), 0)</f>
        <v>875</v>
      </c>
      <c r="R8" s="8"/>
      <c r="S8" s="8"/>
      <c r="T8" s="12">
        <f t="shared" ref="T8:T10" si="4">+SUM(Q8:S8)</f>
        <v>875</v>
      </c>
      <c r="U8" s="13">
        <f t="shared" ref="U8:U10" si="5">+P8-T8</f>
        <v>21452.27</v>
      </c>
    </row>
    <row r="9" spans="1:21" x14ac:dyDescent="0.2">
      <c r="A9" s="52"/>
      <c r="B9" s="6">
        <v>3</v>
      </c>
      <c r="C9" s="7" t="s">
        <v>76</v>
      </c>
      <c r="D9" s="8">
        <v>11636.36</v>
      </c>
      <c r="E9" s="8">
        <v>4363.6400000000003</v>
      </c>
      <c r="F9" s="8"/>
      <c r="G9" s="8"/>
      <c r="H9" s="8">
        <v>1100</v>
      </c>
      <c r="I9" s="8"/>
      <c r="J9" s="9">
        <f t="shared" si="0"/>
        <v>17100</v>
      </c>
      <c r="K9" s="8">
        <v>2900</v>
      </c>
      <c r="L9" s="8">
        <v>100</v>
      </c>
      <c r="M9" s="8"/>
      <c r="N9" s="8">
        <v>145.44999999999999</v>
      </c>
      <c r="O9" s="10">
        <f t="shared" si="1"/>
        <v>3145.45</v>
      </c>
      <c r="P9" s="11">
        <f t="shared" si="2"/>
        <v>20245.45</v>
      </c>
      <c r="Q9" s="8">
        <f t="shared" si="3"/>
        <v>875</v>
      </c>
      <c r="R9" s="8"/>
      <c r="S9" s="8"/>
      <c r="T9" s="12">
        <f t="shared" si="4"/>
        <v>875</v>
      </c>
      <c r="U9" s="13">
        <f t="shared" si="5"/>
        <v>19370.45</v>
      </c>
    </row>
    <row r="10" spans="1:21" x14ac:dyDescent="0.2">
      <c r="A10" s="52"/>
      <c r="B10" s="6">
        <v>4</v>
      </c>
      <c r="C10" s="7" t="s">
        <v>77</v>
      </c>
      <c r="D10" s="8">
        <v>10909.09</v>
      </c>
      <c r="E10" s="8">
        <v>4090.91</v>
      </c>
      <c r="F10" s="8"/>
      <c r="G10" s="8"/>
      <c r="H10" s="8">
        <v>1100</v>
      </c>
      <c r="I10" s="8"/>
      <c r="J10" s="9">
        <f t="shared" si="0"/>
        <v>16100</v>
      </c>
      <c r="K10" s="8">
        <f>2800-1000</f>
        <v>1800</v>
      </c>
      <c r="L10" s="8">
        <v>100</v>
      </c>
      <c r="M10" s="8"/>
      <c r="N10" s="8">
        <v>136.36000000000001</v>
      </c>
      <c r="O10" s="10">
        <f t="shared" si="1"/>
        <v>2036.3600000000001</v>
      </c>
      <c r="P10" s="11">
        <f t="shared" si="2"/>
        <v>18136.36</v>
      </c>
      <c r="Q10" s="8">
        <f t="shared" si="3"/>
        <v>875</v>
      </c>
      <c r="R10" s="8"/>
      <c r="S10" s="8"/>
      <c r="T10" s="12">
        <f t="shared" si="4"/>
        <v>875</v>
      </c>
      <c r="U10" s="13">
        <f t="shared" si="5"/>
        <v>17261.36</v>
      </c>
    </row>
    <row r="11" spans="1:21" x14ac:dyDescent="0.2">
      <c r="A11" s="52"/>
      <c r="B11" s="6">
        <v>5</v>
      </c>
      <c r="C11" s="7" t="s">
        <v>78</v>
      </c>
      <c r="D11" s="8">
        <v>13818.18</v>
      </c>
      <c r="E11" s="8">
        <v>5181.82</v>
      </c>
      <c r="F11" s="8"/>
      <c r="G11" s="8"/>
      <c r="H11" s="8">
        <v>1100</v>
      </c>
      <c r="I11" s="8"/>
      <c r="J11" s="9">
        <f t="shared" si="0"/>
        <v>20100</v>
      </c>
      <c r="K11" s="8">
        <f>2600-1266.66</f>
        <v>1333.34</v>
      </c>
      <c r="L11" s="8">
        <v>100</v>
      </c>
      <c r="M11" s="8"/>
      <c r="N11" s="8"/>
      <c r="O11" s="10">
        <f t="shared" si="1"/>
        <v>1433.34</v>
      </c>
      <c r="P11" s="11">
        <f t="shared" si="2"/>
        <v>21533.34</v>
      </c>
      <c r="Q11" s="8">
        <f t="shared" si="3"/>
        <v>875</v>
      </c>
      <c r="R11" s="8"/>
      <c r="S11" s="8"/>
      <c r="T11" s="12">
        <f t="shared" ref="T11:T17" si="6">+SUM(Q11:S11)</f>
        <v>875</v>
      </c>
      <c r="U11" s="13">
        <f t="shared" ref="U11:U17" si="7">+P11-T11</f>
        <v>20658.34</v>
      </c>
    </row>
    <row r="12" spans="1:21" x14ac:dyDescent="0.2">
      <c r="A12" s="52"/>
      <c r="B12" s="6">
        <v>6</v>
      </c>
      <c r="C12" s="7" t="s">
        <v>79</v>
      </c>
      <c r="D12" s="8">
        <v>12363.64</v>
      </c>
      <c r="E12" s="8">
        <v>4636.3599999999997</v>
      </c>
      <c r="F12" s="8"/>
      <c r="G12" s="8"/>
      <c r="H12" s="8">
        <v>1100</v>
      </c>
      <c r="I12" s="8"/>
      <c r="J12" s="9">
        <f t="shared" si="0"/>
        <v>18100</v>
      </c>
      <c r="K12" s="8">
        <v>1300</v>
      </c>
      <c r="L12" s="8">
        <v>100</v>
      </c>
      <c r="M12" s="8"/>
      <c r="N12" s="8">
        <v>154.55000000000001</v>
      </c>
      <c r="O12" s="10">
        <f t="shared" si="1"/>
        <v>1554.55</v>
      </c>
      <c r="P12" s="11">
        <f t="shared" si="2"/>
        <v>19654.55</v>
      </c>
      <c r="Q12" s="8">
        <f t="shared" si="3"/>
        <v>875</v>
      </c>
      <c r="R12" s="8"/>
      <c r="S12" s="8"/>
      <c r="T12" s="12">
        <f t="shared" si="6"/>
        <v>875</v>
      </c>
      <c r="U12" s="13">
        <f t="shared" si="7"/>
        <v>18779.55</v>
      </c>
    </row>
    <row r="13" spans="1:21" x14ac:dyDescent="0.2">
      <c r="A13" s="52"/>
      <c r="B13" s="6">
        <v>7</v>
      </c>
      <c r="C13" s="7" t="s">
        <v>84</v>
      </c>
      <c r="D13" s="8">
        <v>10909.09</v>
      </c>
      <c r="E13" s="8">
        <v>4090.91</v>
      </c>
      <c r="F13" s="8"/>
      <c r="G13" s="8"/>
      <c r="H13" s="8">
        <v>1100</v>
      </c>
      <c r="I13" s="8"/>
      <c r="J13" s="9">
        <f t="shared" si="0"/>
        <v>16100</v>
      </c>
      <c r="K13" s="8">
        <v>2900</v>
      </c>
      <c r="L13" s="8"/>
      <c r="M13" s="8"/>
      <c r="N13" s="8"/>
      <c r="O13" s="10">
        <f t="shared" si="1"/>
        <v>2900</v>
      </c>
      <c r="P13" s="11">
        <f t="shared" si="2"/>
        <v>19000</v>
      </c>
      <c r="Q13" s="8">
        <f t="shared" si="3"/>
        <v>875</v>
      </c>
      <c r="R13" s="8"/>
      <c r="S13" s="8"/>
      <c r="T13" s="12">
        <f t="shared" si="6"/>
        <v>875</v>
      </c>
      <c r="U13" s="13">
        <f t="shared" si="7"/>
        <v>18125</v>
      </c>
    </row>
    <row r="14" spans="1:21" x14ac:dyDescent="0.2">
      <c r="A14" s="52"/>
      <c r="B14" s="6">
        <v>8</v>
      </c>
      <c r="C14" s="7" t="s">
        <v>80</v>
      </c>
      <c r="D14" s="8">
        <v>12363.64</v>
      </c>
      <c r="E14" s="8">
        <v>4636.3599999999997</v>
      </c>
      <c r="F14" s="8"/>
      <c r="G14" s="8"/>
      <c r="H14" s="8">
        <v>1100</v>
      </c>
      <c r="I14" s="8"/>
      <c r="J14" s="9">
        <f t="shared" si="0"/>
        <v>18100</v>
      </c>
      <c r="K14" s="8">
        <v>3000</v>
      </c>
      <c r="L14" s="8">
        <v>100</v>
      </c>
      <c r="M14" s="8">
        <v>500</v>
      </c>
      <c r="N14" s="8"/>
      <c r="O14" s="10">
        <f t="shared" si="1"/>
        <v>3600</v>
      </c>
      <c r="P14" s="11">
        <f t="shared" si="2"/>
        <v>21700</v>
      </c>
      <c r="Q14" s="8">
        <f t="shared" si="3"/>
        <v>875</v>
      </c>
      <c r="R14" s="8"/>
      <c r="S14" s="8"/>
      <c r="T14" s="12">
        <f t="shared" si="6"/>
        <v>875</v>
      </c>
      <c r="U14" s="13">
        <f t="shared" si="7"/>
        <v>20825</v>
      </c>
    </row>
    <row r="15" spans="1:21" x14ac:dyDescent="0.2">
      <c r="A15" s="52"/>
      <c r="B15" s="6">
        <v>9</v>
      </c>
      <c r="C15" s="7" t="s">
        <v>81</v>
      </c>
      <c r="D15" s="8">
        <v>12363.64</v>
      </c>
      <c r="E15" s="8">
        <v>4636.3599999999997</v>
      </c>
      <c r="F15" s="8"/>
      <c r="G15" s="8"/>
      <c r="H15" s="8">
        <v>1100</v>
      </c>
      <c r="I15" s="8"/>
      <c r="J15" s="9">
        <f t="shared" si="0"/>
        <v>18100</v>
      </c>
      <c r="K15" s="8">
        <f>2600-2266.68</f>
        <v>333.32000000000016</v>
      </c>
      <c r="L15" s="8">
        <v>100</v>
      </c>
      <c r="M15" s="8"/>
      <c r="N15" s="8"/>
      <c r="O15" s="10">
        <f t="shared" si="1"/>
        <v>433.32000000000016</v>
      </c>
      <c r="P15" s="11">
        <f t="shared" si="2"/>
        <v>18533.32</v>
      </c>
      <c r="Q15" s="8">
        <f t="shared" si="3"/>
        <v>875</v>
      </c>
      <c r="R15" s="8">
        <v>407</v>
      </c>
      <c r="S15" s="8"/>
      <c r="T15" s="12">
        <f t="shared" si="6"/>
        <v>1282</v>
      </c>
      <c r="U15" s="13">
        <f t="shared" si="7"/>
        <v>17251.32</v>
      </c>
    </row>
    <row r="16" spans="1:21" x14ac:dyDescent="0.2">
      <c r="A16" s="52"/>
      <c r="B16" s="6">
        <v>10</v>
      </c>
      <c r="C16" s="7" t="s">
        <v>82</v>
      </c>
      <c r="D16" s="8">
        <v>10181.82</v>
      </c>
      <c r="E16" s="8">
        <v>3818.18</v>
      </c>
      <c r="F16" s="8"/>
      <c r="G16" s="8"/>
      <c r="H16" s="8">
        <v>1100</v>
      </c>
      <c r="I16" s="8"/>
      <c r="J16" s="9">
        <f t="shared" si="0"/>
        <v>15100</v>
      </c>
      <c r="K16" s="8">
        <f>2400-466.67</f>
        <v>1933.33</v>
      </c>
      <c r="L16" s="8">
        <v>100</v>
      </c>
      <c r="M16" s="8"/>
      <c r="N16" s="8"/>
      <c r="O16" s="10">
        <f t="shared" si="1"/>
        <v>2033.33</v>
      </c>
      <c r="P16" s="11">
        <f t="shared" si="2"/>
        <v>17133.330000000002</v>
      </c>
      <c r="Q16" s="8">
        <f t="shared" si="3"/>
        <v>852</v>
      </c>
      <c r="R16" s="8"/>
      <c r="S16" s="8"/>
      <c r="T16" s="12">
        <f t="shared" si="6"/>
        <v>852</v>
      </c>
      <c r="U16" s="13">
        <f>+P16-T16</f>
        <v>16281.330000000002</v>
      </c>
    </row>
    <row r="17" spans="1:21" x14ac:dyDescent="0.2">
      <c r="A17" s="52"/>
      <c r="B17" s="6">
        <v>11</v>
      </c>
      <c r="C17" s="7" t="s">
        <v>83</v>
      </c>
      <c r="D17" s="8">
        <v>12363.64</v>
      </c>
      <c r="E17" s="8">
        <v>4636.3599999999997</v>
      </c>
      <c r="F17" s="8"/>
      <c r="G17" s="8"/>
      <c r="H17" s="8">
        <v>1100</v>
      </c>
      <c r="I17" s="8"/>
      <c r="J17" s="9">
        <f t="shared" si="0"/>
        <v>18100</v>
      </c>
      <c r="K17" s="8">
        <f>2500-566.67</f>
        <v>1933.33</v>
      </c>
      <c r="L17" s="8">
        <v>100</v>
      </c>
      <c r="M17" s="8"/>
      <c r="N17" s="8"/>
      <c r="O17" s="10">
        <f t="shared" si="1"/>
        <v>2033.33</v>
      </c>
      <c r="P17" s="11">
        <f t="shared" si="2"/>
        <v>20133.330000000002</v>
      </c>
      <c r="Q17" s="8">
        <f t="shared" si="3"/>
        <v>875</v>
      </c>
      <c r="R17" s="8"/>
      <c r="S17" s="8"/>
      <c r="T17" s="12">
        <f t="shared" si="6"/>
        <v>875</v>
      </c>
      <c r="U17" s="13">
        <f t="shared" si="7"/>
        <v>19258.330000000002</v>
      </c>
    </row>
    <row r="18" spans="1:21" x14ac:dyDescent="0.2">
      <c r="A18" s="62" t="s">
        <v>37</v>
      </c>
      <c r="B18" s="62"/>
      <c r="C18" s="62"/>
      <c r="D18" s="25">
        <f>+SUM(D7:D17)</f>
        <v>133090.91999999998</v>
      </c>
      <c r="E18" s="25">
        <f t="shared" ref="E18:U18" si="8">+SUM(E7:E17)</f>
        <v>49909.08</v>
      </c>
      <c r="F18" s="25">
        <f t="shared" si="8"/>
        <v>0</v>
      </c>
      <c r="G18" s="25">
        <f t="shared" si="8"/>
        <v>0</v>
      </c>
      <c r="H18" s="25">
        <f t="shared" si="8"/>
        <v>12300</v>
      </c>
      <c r="I18" s="25">
        <f t="shared" si="8"/>
        <v>0</v>
      </c>
      <c r="J18" s="25">
        <f t="shared" si="8"/>
        <v>195300</v>
      </c>
      <c r="K18" s="25">
        <f t="shared" si="8"/>
        <v>21933.32</v>
      </c>
      <c r="L18" s="25">
        <f t="shared" si="8"/>
        <v>1000</v>
      </c>
      <c r="M18" s="25">
        <f t="shared" si="8"/>
        <v>500</v>
      </c>
      <c r="N18" s="25">
        <f t="shared" si="8"/>
        <v>968.18000000000006</v>
      </c>
      <c r="O18" s="25">
        <f t="shared" si="8"/>
        <v>24401.5</v>
      </c>
      <c r="P18" s="25">
        <f t="shared" si="8"/>
        <v>219701.50000000006</v>
      </c>
      <c r="Q18" s="25">
        <f t="shared" si="8"/>
        <v>9602</v>
      </c>
      <c r="R18" s="25">
        <f t="shared" si="8"/>
        <v>407</v>
      </c>
      <c r="S18" s="25">
        <f t="shared" si="8"/>
        <v>0</v>
      </c>
      <c r="T18" s="25">
        <f t="shared" si="8"/>
        <v>10009</v>
      </c>
      <c r="U18" s="25">
        <f t="shared" si="8"/>
        <v>209692.50000000006</v>
      </c>
    </row>
    <row r="20" spans="1:21" x14ac:dyDescent="0.2">
      <c r="A20" s="52" t="s">
        <v>25</v>
      </c>
      <c r="B20" s="46" t="s">
        <v>5</v>
      </c>
      <c r="C20" s="46" t="s">
        <v>6</v>
      </c>
      <c r="D20" s="46" t="s">
        <v>21</v>
      </c>
      <c r="E20" s="46"/>
      <c r="F20" s="46"/>
      <c r="G20" s="46"/>
      <c r="H20" s="46"/>
      <c r="I20" s="46"/>
      <c r="J20" s="46" t="s">
        <v>11</v>
      </c>
      <c r="K20" s="46" t="s">
        <v>14</v>
      </c>
      <c r="L20" s="46"/>
      <c r="M20" s="46"/>
      <c r="N20" s="46"/>
      <c r="O20" s="47" t="s">
        <v>29</v>
      </c>
      <c r="P20" s="46" t="s">
        <v>18</v>
      </c>
      <c r="Q20" s="46" t="s">
        <v>26</v>
      </c>
      <c r="R20" s="46" t="s">
        <v>23</v>
      </c>
      <c r="S20" s="46" t="s">
        <v>40</v>
      </c>
    </row>
    <row r="21" spans="1:21" x14ac:dyDescent="0.2">
      <c r="A21" s="52"/>
      <c r="B21" s="46"/>
      <c r="C21" s="46"/>
      <c r="D21" s="17" t="s">
        <v>7</v>
      </c>
      <c r="E21" s="17" t="s">
        <v>8</v>
      </c>
      <c r="F21" s="17" t="s">
        <v>9</v>
      </c>
      <c r="G21" s="17" t="s">
        <v>10</v>
      </c>
      <c r="H21" s="17" t="s">
        <v>12</v>
      </c>
      <c r="I21" s="17" t="s">
        <v>13</v>
      </c>
      <c r="J21" s="46"/>
      <c r="K21" s="17" t="s">
        <v>15</v>
      </c>
      <c r="L21" s="17" t="s">
        <v>16</v>
      </c>
      <c r="M21" s="17"/>
      <c r="N21" s="17" t="s">
        <v>17</v>
      </c>
      <c r="O21" s="47"/>
      <c r="P21" s="46"/>
      <c r="Q21" s="46"/>
      <c r="R21" s="46"/>
      <c r="S21" s="46"/>
    </row>
    <row r="22" spans="1:21" x14ac:dyDescent="0.2">
      <c r="A22" s="52"/>
      <c r="B22" s="6">
        <v>1</v>
      </c>
      <c r="C22" s="7" t="s">
        <v>41</v>
      </c>
      <c r="D22" s="8"/>
      <c r="E22" s="8"/>
      <c r="F22" s="8"/>
      <c r="G22" s="8"/>
      <c r="H22" s="8"/>
      <c r="I22" s="8"/>
      <c r="J22" s="10">
        <f>+SUM(D22:I22)</f>
        <v>0</v>
      </c>
      <c r="K22" s="8">
        <v>4379.4799999999996</v>
      </c>
      <c r="L22" s="8"/>
      <c r="M22" s="8"/>
      <c r="N22" s="8"/>
      <c r="O22" s="10">
        <f>+SUM(K22:N22)</f>
        <v>4379.4799999999996</v>
      </c>
      <c r="P22" s="22">
        <f>+J22+O22</f>
        <v>4379.4799999999996</v>
      </c>
      <c r="Q22" s="18">
        <f>IF(P22 &lt; 1000, 0, P22 * 3%)</f>
        <v>131.38439999999997</v>
      </c>
      <c r="R22" s="23">
        <f>+P22-Q22</f>
        <v>4248.0955999999996</v>
      </c>
      <c r="S22" s="44">
        <v>244444</v>
      </c>
    </row>
    <row r="23" spans="1:21" x14ac:dyDescent="0.2">
      <c r="A23" s="52"/>
      <c r="B23" s="6">
        <v>2</v>
      </c>
      <c r="C23" s="7" t="s">
        <v>42</v>
      </c>
      <c r="D23" s="8"/>
      <c r="E23" s="8"/>
      <c r="F23" s="8"/>
      <c r="G23" s="8"/>
      <c r="H23" s="8"/>
      <c r="I23" s="8"/>
      <c r="J23" s="10">
        <f t="shared" ref="J23:J24" si="9">+SUM(D23:I23)</f>
        <v>0</v>
      </c>
      <c r="K23" s="8">
        <v>875.9</v>
      </c>
      <c r="L23" s="8"/>
      <c r="M23" s="8"/>
      <c r="N23" s="8"/>
      <c r="O23" s="10">
        <f t="shared" ref="O23:O24" si="10">+SUM(K23:N23)</f>
        <v>875.9</v>
      </c>
      <c r="P23" s="22">
        <f t="shared" ref="P23:P24" si="11">+J23+O23</f>
        <v>875.9</v>
      </c>
      <c r="Q23" s="18">
        <f t="shared" ref="Q23:Q24" si="12">IF(P23 &lt; 1000, 0, P23 * 3%)</f>
        <v>0</v>
      </c>
      <c r="R23" s="23">
        <f t="shared" ref="R23:R24" si="13">+P23-Q23</f>
        <v>875.9</v>
      </c>
      <c r="S23" s="45"/>
    </row>
    <row r="24" spans="1:21" x14ac:dyDescent="0.2">
      <c r="A24" s="52"/>
      <c r="B24" s="6">
        <v>3</v>
      </c>
      <c r="C24" s="7" t="s">
        <v>42</v>
      </c>
      <c r="D24" s="8">
        <v>8000</v>
      </c>
      <c r="E24" s="8"/>
      <c r="F24" s="8"/>
      <c r="G24" s="8"/>
      <c r="H24" s="8"/>
      <c r="I24" s="8"/>
      <c r="J24" s="10">
        <f t="shared" si="9"/>
        <v>8000</v>
      </c>
      <c r="K24" s="8"/>
      <c r="L24" s="8"/>
      <c r="M24" s="8"/>
      <c r="N24" s="8"/>
      <c r="O24" s="10">
        <f t="shared" si="10"/>
        <v>0</v>
      </c>
      <c r="P24" s="22">
        <f t="shared" si="11"/>
        <v>8000</v>
      </c>
      <c r="Q24" s="18">
        <f t="shared" si="12"/>
        <v>240</v>
      </c>
      <c r="R24" s="23">
        <f t="shared" si="13"/>
        <v>7760</v>
      </c>
      <c r="S24" s="31">
        <v>244469</v>
      </c>
    </row>
    <row r="25" spans="1:21" x14ac:dyDescent="0.2">
      <c r="A25" s="62" t="s">
        <v>39</v>
      </c>
      <c r="B25" s="62"/>
      <c r="C25" s="62"/>
      <c r="D25" s="26">
        <f>+SUM(D22:D24)</f>
        <v>8000</v>
      </c>
      <c r="E25" s="26">
        <f>+SUM(E22:E24)</f>
        <v>0</v>
      </c>
      <c r="F25" s="26">
        <f>+SUM(F22:F24)</f>
        <v>0</v>
      </c>
      <c r="G25" s="26">
        <f>+SUM(G22:G24)</f>
        <v>0</v>
      </c>
      <c r="H25" s="26">
        <f>+SUM(H22:H24)</f>
        <v>0</v>
      </c>
      <c r="I25" s="26">
        <f>+SUM(I22:I24)</f>
        <v>0</v>
      </c>
      <c r="J25" s="26">
        <f>+SUM(J22:J24)</f>
        <v>8000</v>
      </c>
      <c r="K25" s="26">
        <f>+SUM(K22:K24)</f>
        <v>5255.3799999999992</v>
      </c>
      <c r="L25" s="26">
        <f>+SUM(L22:L24)</f>
        <v>0</v>
      </c>
      <c r="M25" s="26">
        <f>+SUM(M22:M24)</f>
        <v>0</v>
      </c>
      <c r="N25" s="26">
        <f>+SUM(N22:N24)</f>
        <v>0</v>
      </c>
      <c r="O25" s="26">
        <f>+SUM(O22:O24)</f>
        <v>5255.3799999999992</v>
      </c>
      <c r="P25" s="26">
        <f>+SUM(P22:P24)</f>
        <v>13255.38</v>
      </c>
      <c r="Q25" s="26">
        <f>+SUM(Q22:Q24)</f>
        <v>371.38439999999997</v>
      </c>
      <c r="R25" s="26">
        <f>+SUM(R22:R24)</f>
        <v>12883.995599999998</v>
      </c>
      <c r="S25" s="26"/>
    </row>
  </sheetData>
  <mergeCells count="28">
    <mergeCell ref="A25:C25"/>
    <mergeCell ref="S22:S23"/>
    <mergeCell ref="K20:N20"/>
    <mergeCell ref="O20:O21"/>
    <mergeCell ref="P20:P21"/>
    <mergeCell ref="Q20:Q21"/>
    <mergeCell ref="R20:R21"/>
    <mergeCell ref="S20:S21"/>
    <mergeCell ref="A20:A24"/>
    <mergeCell ref="B20:B21"/>
    <mergeCell ref="C20:C21"/>
    <mergeCell ref="D20:I20"/>
    <mergeCell ref="J20:J21"/>
    <mergeCell ref="T5:T6"/>
    <mergeCell ref="U5:U6"/>
    <mergeCell ref="A18:C18"/>
    <mergeCell ref="D5:I5"/>
    <mergeCell ref="J5:J6"/>
    <mergeCell ref="K5:N5"/>
    <mergeCell ref="O5:O6"/>
    <mergeCell ref="P5:P6"/>
    <mergeCell ref="Q5:S5"/>
    <mergeCell ref="C5:C6"/>
    <mergeCell ref="A1:B1"/>
    <mergeCell ref="A2:B2"/>
    <mergeCell ref="A3:B3"/>
    <mergeCell ref="A5:A17"/>
    <mergeCell ref="B5:B6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21</xdr:col>
                    <xdr:colOff>209550</xdr:colOff>
                    <xdr:row>6</xdr:row>
                    <xdr:rowOff>19050</xdr:rowOff>
                  </from>
                  <to>
                    <xdr:col>21</xdr:col>
                    <xdr:colOff>638175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21</xdr:col>
                    <xdr:colOff>209550</xdr:colOff>
                    <xdr:row>6</xdr:row>
                    <xdr:rowOff>19050</xdr:rowOff>
                  </from>
                  <to>
                    <xdr:col>21</xdr:col>
                    <xdr:colOff>638175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 moveWithCells="1">
                  <from>
                    <xdr:col>21</xdr:col>
                    <xdr:colOff>209550</xdr:colOff>
                    <xdr:row>7</xdr:row>
                    <xdr:rowOff>19050</xdr:rowOff>
                  </from>
                  <to>
                    <xdr:col>21</xdr:col>
                    <xdr:colOff>638175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>
                <anchor moveWithCells="1">
                  <from>
                    <xdr:col>21</xdr:col>
                    <xdr:colOff>209550</xdr:colOff>
                    <xdr:row>7</xdr:row>
                    <xdr:rowOff>19050</xdr:rowOff>
                  </from>
                  <to>
                    <xdr:col>21</xdr:col>
                    <xdr:colOff>638175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Fill="0" autoLine="0" autoPict="0">
                <anchor moveWithCells="1">
                  <from>
                    <xdr:col>21</xdr:col>
                    <xdr:colOff>209550</xdr:colOff>
                    <xdr:row>8</xdr:row>
                    <xdr:rowOff>19050</xdr:rowOff>
                  </from>
                  <to>
                    <xdr:col>21</xdr:col>
                    <xdr:colOff>638175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Fill="0" autoLine="0" autoPict="0">
                <anchor moveWithCells="1">
                  <from>
                    <xdr:col>21</xdr:col>
                    <xdr:colOff>209550</xdr:colOff>
                    <xdr:row>8</xdr:row>
                    <xdr:rowOff>19050</xdr:rowOff>
                  </from>
                  <to>
                    <xdr:col>21</xdr:col>
                    <xdr:colOff>638175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Check Box 7">
              <controlPr defaultSize="0" autoFill="0" autoLine="0" autoPict="0">
                <anchor moveWithCells="1">
                  <from>
                    <xdr:col>21</xdr:col>
                    <xdr:colOff>209550</xdr:colOff>
                    <xdr:row>9</xdr:row>
                    <xdr:rowOff>19050</xdr:rowOff>
                  </from>
                  <to>
                    <xdr:col>21</xdr:col>
                    <xdr:colOff>638175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Check Box 8">
              <controlPr defaultSize="0" autoFill="0" autoLine="0" autoPict="0">
                <anchor moveWithCells="1">
                  <from>
                    <xdr:col>21</xdr:col>
                    <xdr:colOff>209550</xdr:colOff>
                    <xdr:row>9</xdr:row>
                    <xdr:rowOff>19050</xdr:rowOff>
                  </from>
                  <to>
                    <xdr:col>21</xdr:col>
                    <xdr:colOff>638175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Check Box 9">
              <controlPr defaultSize="0" autoFill="0" autoLine="0" autoPict="0">
                <anchor moveWithCells="1">
                  <from>
                    <xdr:col>21</xdr:col>
                    <xdr:colOff>209550</xdr:colOff>
                    <xdr:row>10</xdr:row>
                    <xdr:rowOff>19050</xdr:rowOff>
                  </from>
                  <to>
                    <xdr:col>21</xdr:col>
                    <xdr:colOff>638175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Check Box 10">
              <controlPr defaultSize="0" autoFill="0" autoLine="0" autoPict="0">
                <anchor moveWithCells="1">
                  <from>
                    <xdr:col>21</xdr:col>
                    <xdr:colOff>209550</xdr:colOff>
                    <xdr:row>10</xdr:row>
                    <xdr:rowOff>19050</xdr:rowOff>
                  </from>
                  <to>
                    <xdr:col>21</xdr:col>
                    <xdr:colOff>638175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Check Box 11">
              <controlPr defaultSize="0" autoFill="0" autoLine="0" autoPict="0">
                <anchor moveWithCells="1">
                  <from>
                    <xdr:col>21</xdr:col>
                    <xdr:colOff>209550</xdr:colOff>
                    <xdr:row>11</xdr:row>
                    <xdr:rowOff>19050</xdr:rowOff>
                  </from>
                  <to>
                    <xdr:col>21</xdr:col>
                    <xdr:colOff>638175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Check Box 12">
              <controlPr defaultSize="0" autoFill="0" autoLine="0" autoPict="0">
                <anchor moveWithCells="1">
                  <from>
                    <xdr:col>21</xdr:col>
                    <xdr:colOff>209550</xdr:colOff>
                    <xdr:row>11</xdr:row>
                    <xdr:rowOff>19050</xdr:rowOff>
                  </from>
                  <to>
                    <xdr:col>21</xdr:col>
                    <xdr:colOff>638175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6" name="Check Box 13">
              <controlPr defaultSize="0" autoFill="0" autoLine="0" autoPict="0">
                <anchor moveWithCells="1">
                  <from>
                    <xdr:col>21</xdr:col>
                    <xdr:colOff>209550</xdr:colOff>
                    <xdr:row>12</xdr:row>
                    <xdr:rowOff>19050</xdr:rowOff>
                  </from>
                  <to>
                    <xdr:col>21</xdr:col>
                    <xdr:colOff>638175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7" name="Check Box 14">
              <controlPr defaultSize="0" autoFill="0" autoLine="0" autoPict="0">
                <anchor moveWithCells="1">
                  <from>
                    <xdr:col>21</xdr:col>
                    <xdr:colOff>209550</xdr:colOff>
                    <xdr:row>12</xdr:row>
                    <xdr:rowOff>19050</xdr:rowOff>
                  </from>
                  <to>
                    <xdr:col>21</xdr:col>
                    <xdr:colOff>638175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8" name="Check Box 15">
              <controlPr defaultSize="0" autoFill="0" autoLine="0" autoPict="0">
                <anchor moveWithCells="1">
                  <from>
                    <xdr:col>21</xdr:col>
                    <xdr:colOff>209550</xdr:colOff>
                    <xdr:row>13</xdr:row>
                    <xdr:rowOff>19050</xdr:rowOff>
                  </from>
                  <to>
                    <xdr:col>21</xdr:col>
                    <xdr:colOff>638175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9" name="Check Box 16">
              <controlPr defaultSize="0" autoFill="0" autoLine="0" autoPict="0">
                <anchor moveWithCells="1">
                  <from>
                    <xdr:col>21</xdr:col>
                    <xdr:colOff>209550</xdr:colOff>
                    <xdr:row>13</xdr:row>
                    <xdr:rowOff>19050</xdr:rowOff>
                  </from>
                  <to>
                    <xdr:col>21</xdr:col>
                    <xdr:colOff>638175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20" name="Check Box 17">
              <controlPr defaultSize="0" autoFill="0" autoLine="0" autoPict="0">
                <anchor moveWithCells="1">
                  <from>
                    <xdr:col>21</xdr:col>
                    <xdr:colOff>209550</xdr:colOff>
                    <xdr:row>14</xdr:row>
                    <xdr:rowOff>19050</xdr:rowOff>
                  </from>
                  <to>
                    <xdr:col>21</xdr:col>
                    <xdr:colOff>638175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1" name="Check Box 18">
              <controlPr defaultSize="0" autoFill="0" autoLine="0" autoPict="0">
                <anchor moveWithCells="1">
                  <from>
                    <xdr:col>21</xdr:col>
                    <xdr:colOff>209550</xdr:colOff>
                    <xdr:row>14</xdr:row>
                    <xdr:rowOff>19050</xdr:rowOff>
                  </from>
                  <to>
                    <xdr:col>21</xdr:col>
                    <xdr:colOff>638175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2" name="Check Box 19">
              <controlPr defaultSize="0" autoFill="0" autoLine="0" autoPict="0">
                <anchor moveWithCells="1">
                  <from>
                    <xdr:col>21</xdr:col>
                    <xdr:colOff>209550</xdr:colOff>
                    <xdr:row>15</xdr:row>
                    <xdr:rowOff>19050</xdr:rowOff>
                  </from>
                  <to>
                    <xdr:col>21</xdr:col>
                    <xdr:colOff>638175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23" name="Check Box 20">
              <controlPr defaultSize="0" autoFill="0" autoLine="0" autoPict="0">
                <anchor moveWithCells="1">
                  <from>
                    <xdr:col>21</xdr:col>
                    <xdr:colOff>209550</xdr:colOff>
                    <xdr:row>15</xdr:row>
                    <xdr:rowOff>19050</xdr:rowOff>
                  </from>
                  <to>
                    <xdr:col>21</xdr:col>
                    <xdr:colOff>638175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4" name="Check Box 21">
              <controlPr defaultSize="0" autoFill="0" autoLine="0" autoPict="0">
                <anchor moveWithCells="1">
                  <from>
                    <xdr:col>21</xdr:col>
                    <xdr:colOff>209550</xdr:colOff>
                    <xdr:row>16</xdr:row>
                    <xdr:rowOff>19050</xdr:rowOff>
                  </from>
                  <to>
                    <xdr:col>21</xdr:col>
                    <xdr:colOff>638175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5" name="Check Box 22">
              <controlPr defaultSize="0" autoFill="0" autoLine="0" autoPict="0">
                <anchor moveWithCells="1">
                  <from>
                    <xdr:col>21</xdr:col>
                    <xdr:colOff>209550</xdr:colOff>
                    <xdr:row>16</xdr:row>
                    <xdr:rowOff>19050</xdr:rowOff>
                  </from>
                  <to>
                    <xdr:col>21</xdr:col>
                    <xdr:colOff>638175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6" name="Check Box 23">
              <controlPr defaultSize="0" autoFill="0" autoLine="0" autoPict="0">
                <anchor moveWithCells="1">
                  <from>
                    <xdr:col>19</xdr:col>
                    <xdr:colOff>209550</xdr:colOff>
                    <xdr:row>21</xdr:row>
                    <xdr:rowOff>0</xdr:rowOff>
                  </from>
                  <to>
                    <xdr:col>19</xdr:col>
                    <xdr:colOff>638175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7" name="Check Box 24">
              <controlPr defaultSize="0" autoFill="0" autoLine="0" autoPict="0">
                <anchor moveWithCells="1">
                  <from>
                    <xdr:col>19</xdr:col>
                    <xdr:colOff>209550</xdr:colOff>
                    <xdr:row>21</xdr:row>
                    <xdr:rowOff>0</xdr:rowOff>
                  </from>
                  <to>
                    <xdr:col>19</xdr:col>
                    <xdr:colOff>638175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8" name="Check Box 25">
              <controlPr defaultSize="0" autoFill="0" autoLine="0" autoPict="0">
                <anchor moveWithCells="1">
                  <from>
                    <xdr:col>19</xdr:col>
                    <xdr:colOff>209550</xdr:colOff>
                    <xdr:row>21</xdr:row>
                    <xdr:rowOff>0</xdr:rowOff>
                  </from>
                  <to>
                    <xdr:col>19</xdr:col>
                    <xdr:colOff>638175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9" name="Check Box 26">
              <controlPr defaultSize="0" autoFill="0" autoLine="0" autoPict="0">
                <anchor moveWithCells="1">
                  <from>
                    <xdr:col>19</xdr:col>
                    <xdr:colOff>209550</xdr:colOff>
                    <xdr:row>21</xdr:row>
                    <xdr:rowOff>0</xdr:rowOff>
                  </from>
                  <to>
                    <xdr:col>19</xdr:col>
                    <xdr:colOff>638175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30" name="Check Box 27">
              <controlPr defaultSize="0" autoFill="0" autoLine="0" autoPict="0">
                <anchor moveWithCells="1">
                  <from>
                    <xdr:col>19</xdr:col>
                    <xdr:colOff>209550</xdr:colOff>
                    <xdr:row>21</xdr:row>
                    <xdr:rowOff>0</xdr:rowOff>
                  </from>
                  <to>
                    <xdr:col>19</xdr:col>
                    <xdr:colOff>638175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31" name="Check Box 28">
              <controlPr defaultSize="0" autoFill="0" autoLine="0" autoPict="0">
                <anchor moveWithCells="1">
                  <from>
                    <xdr:col>19</xdr:col>
                    <xdr:colOff>209550</xdr:colOff>
                    <xdr:row>21</xdr:row>
                    <xdr:rowOff>0</xdr:rowOff>
                  </from>
                  <to>
                    <xdr:col>19</xdr:col>
                    <xdr:colOff>638175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32" name="Check Box 29">
              <controlPr defaultSize="0" autoFill="0" autoLine="0" autoPict="0">
                <anchor moveWithCells="1">
                  <from>
                    <xdr:col>19</xdr:col>
                    <xdr:colOff>209550</xdr:colOff>
                    <xdr:row>21</xdr:row>
                    <xdr:rowOff>19050</xdr:rowOff>
                  </from>
                  <to>
                    <xdr:col>19</xdr:col>
                    <xdr:colOff>638175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33" name="Check Box 30">
              <controlPr defaultSize="0" autoFill="0" autoLine="0" autoPict="0">
                <anchor moveWithCells="1">
                  <from>
                    <xdr:col>19</xdr:col>
                    <xdr:colOff>209550</xdr:colOff>
                    <xdr:row>21</xdr:row>
                    <xdr:rowOff>19050</xdr:rowOff>
                  </from>
                  <to>
                    <xdr:col>19</xdr:col>
                    <xdr:colOff>638175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34" name="Check Box 31">
              <controlPr defaultSize="0" autoFill="0" autoLine="0" autoPict="0">
                <anchor moveWithCells="1">
                  <from>
                    <xdr:col>19</xdr:col>
                    <xdr:colOff>209550</xdr:colOff>
                    <xdr:row>22</xdr:row>
                    <xdr:rowOff>19050</xdr:rowOff>
                  </from>
                  <to>
                    <xdr:col>19</xdr:col>
                    <xdr:colOff>638175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35" name="Check Box 32">
              <controlPr defaultSize="0" autoFill="0" autoLine="0" autoPict="0">
                <anchor moveWithCells="1">
                  <from>
                    <xdr:col>19</xdr:col>
                    <xdr:colOff>209550</xdr:colOff>
                    <xdr:row>22</xdr:row>
                    <xdr:rowOff>19050</xdr:rowOff>
                  </from>
                  <to>
                    <xdr:col>19</xdr:col>
                    <xdr:colOff>638175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36" name="Check Box 33">
              <controlPr defaultSize="0" autoFill="0" autoLine="0" autoPict="0">
                <anchor moveWithCells="1">
                  <from>
                    <xdr:col>19</xdr:col>
                    <xdr:colOff>209550</xdr:colOff>
                    <xdr:row>23</xdr:row>
                    <xdr:rowOff>0</xdr:rowOff>
                  </from>
                  <to>
                    <xdr:col>19</xdr:col>
                    <xdr:colOff>638175</xdr:colOff>
                    <xdr:row>23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37" name="Check Box 34">
              <controlPr defaultSize="0" autoFill="0" autoLine="0" autoPict="0">
                <anchor moveWithCells="1">
                  <from>
                    <xdr:col>19</xdr:col>
                    <xdr:colOff>209550</xdr:colOff>
                    <xdr:row>23</xdr:row>
                    <xdr:rowOff>0</xdr:rowOff>
                  </from>
                  <to>
                    <xdr:col>19</xdr:col>
                    <xdr:colOff>638175</xdr:colOff>
                    <xdr:row>23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99CE-16DB-4119-A61E-F1F0C06B8947}">
  <sheetPr codeName="Sheet7">
    <tabColor rgb="FFFFC000"/>
    <pageSetUpPr fitToPage="1"/>
  </sheetPr>
  <dimension ref="A1:U25"/>
  <sheetViews>
    <sheetView zoomScale="85" zoomScaleNormal="85" workbookViewId="0">
      <selection activeCell="Q19" sqref="Q19"/>
    </sheetView>
  </sheetViews>
  <sheetFormatPr defaultColWidth="9" defaultRowHeight="21" x14ac:dyDescent="0.2"/>
  <cols>
    <col min="1" max="1" width="17.375" style="2" bestFit="1" customWidth="1"/>
    <col min="2" max="2" width="6.375" style="2" customWidth="1"/>
    <col min="3" max="3" width="32.625" style="2" bestFit="1" customWidth="1"/>
    <col min="4" max="4" width="9.875" style="2" bestFit="1" customWidth="1"/>
    <col min="5" max="9" width="9.375" style="2" customWidth="1"/>
    <col min="10" max="10" width="10.25" style="2" bestFit="1" customWidth="1"/>
    <col min="11" max="14" width="9.375" style="2" customWidth="1"/>
    <col min="15" max="15" width="10.375" style="2" customWidth="1"/>
    <col min="16" max="16" width="10.125" style="2" bestFit="1" customWidth="1"/>
    <col min="17" max="18" width="9.375" style="2" customWidth="1"/>
    <col min="19" max="19" width="9.625" style="2" customWidth="1"/>
    <col min="20" max="20" width="9.375" style="2" customWidth="1"/>
    <col min="21" max="21" width="10.375" style="2" bestFit="1" customWidth="1"/>
    <col min="22" max="16384" width="9" style="2"/>
  </cols>
  <sheetData>
    <row r="1" spans="1:21" x14ac:dyDescent="0.2">
      <c r="A1" s="38" t="s">
        <v>0</v>
      </c>
      <c r="B1" s="38"/>
      <c r="C1" s="1" t="s">
        <v>71</v>
      </c>
    </row>
    <row r="2" spans="1:21" x14ac:dyDescent="0.2">
      <c r="A2" s="38" t="s">
        <v>2</v>
      </c>
      <c r="B2" s="38"/>
      <c r="C2" s="3">
        <f>+ARI!C2</f>
        <v>244444</v>
      </c>
    </row>
    <row r="3" spans="1:21" x14ac:dyDescent="0.2">
      <c r="A3" s="38" t="s">
        <v>3</v>
      </c>
      <c r="B3" s="38"/>
      <c r="C3" s="3">
        <f>+ARI!C3</f>
        <v>244469</v>
      </c>
    </row>
    <row r="5" spans="1:21" x14ac:dyDescent="0.2">
      <c r="A5" s="52" t="s">
        <v>4</v>
      </c>
      <c r="B5" s="39" t="s">
        <v>5</v>
      </c>
      <c r="C5" s="39" t="s">
        <v>6</v>
      </c>
      <c r="D5" s="39" t="s">
        <v>21</v>
      </c>
      <c r="E5" s="39"/>
      <c r="F5" s="39"/>
      <c r="G5" s="39"/>
      <c r="H5" s="39"/>
      <c r="I5" s="39"/>
      <c r="J5" s="39" t="s">
        <v>11</v>
      </c>
      <c r="K5" s="39" t="s">
        <v>14</v>
      </c>
      <c r="L5" s="39"/>
      <c r="M5" s="39"/>
      <c r="N5" s="39"/>
      <c r="O5" s="40" t="s">
        <v>29</v>
      </c>
      <c r="P5" s="39" t="s">
        <v>18</v>
      </c>
      <c r="Q5" s="39" t="s">
        <v>19</v>
      </c>
      <c r="R5" s="39"/>
      <c r="S5" s="39"/>
      <c r="T5" s="40" t="s">
        <v>22</v>
      </c>
      <c r="U5" s="39" t="s">
        <v>23</v>
      </c>
    </row>
    <row r="6" spans="1:21" x14ac:dyDescent="0.2">
      <c r="A6" s="52"/>
      <c r="B6" s="39"/>
      <c r="C6" s="39"/>
      <c r="D6" s="5" t="s">
        <v>7</v>
      </c>
      <c r="E6" s="5" t="s">
        <v>8</v>
      </c>
      <c r="F6" s="5" t="s">
        <v>9</v>
      </c>
      <c r="G6" s="5" t="s">
        <v>10</v>
      </c>
      <c r="H6" s="5" t="s">
        <v>12</v>
      </c>
      <c r="I6" s="5" t="s">
        <v>13</v>
      </c>
      <c r="J6" s="39"/>
      <c r="K6" s="5" t="s">
        <v>15</v>
      </c>
      <c r="L6" s="5" t="s">
        <v>16</v>
      </c>
      <c r="M6" s="5" t="s">
        <v>43</v>
      </c>
      <c r="N6" s="5" t="s">
        <v>17</v>
      </c>
      <c r="O6" s="40"/>
      <c r="P6" s="39"/>
      <c r="Q6" s="5" t="s">
        <v>30</v>
      </c>
      <c r="R6" s="5" t="s">
        <v>31</v>
      </c>
      <c r="S6" s="5" t="s">
        <v>20</v>
      </c>
      <c r="T6" s="40"/>
      <c r="U6" s="39"/>
    </row>
    <row r="7" spans="1:21" x14ac:dyDescent="0.2">
      <c r="A7" s="52"/>
      <c r="B7" s="6">
        <v>1</v>
      </c>
      <c r="C7" s="7" t="s">
        <v>94</v>
      </c>
      <c r="D7" s="8">
        <v>13090.91</v>
      </c>
      <c r="E7" s="8">
        <v>4909.09</v>
      </c>
      <c r="F7" s="8"/>
      <c r="G7" s="8"/>
      <c r="H7" s="8">
        <v>1100</v>
      </c>
      <c r="I7" s="8"/>
      <c r="J7" s="9">
        <f>+SUM(D7:I7)</f>
        <v>19100</v>
      </c>
      <c r="K7" s="8">
        <v>3000</v>
      </c>
      <c r="L7" s="8"/>
      <c r="M7" s="8">
        <v>500</v>
      </c>
      <c r="N7" s="8">
        <v>327.27</v>
      </c>
      <c r="O7" s="10">
        <f>+SUM(K7:N7)</f>
        <v>3827.27</v>
      </c>
      <c r="P7" s="11">
        <f>+J7+O7</f>
        <v>22927.27</v>
      </c>
      <c r="Q7" s="22">
        <f>ROUND(IF((J7+K7)&gt;17500, 875, (J7+K7)*5%), 0)</f>
        <v>875</v>
      </c>
      <c r="R7" s="8"/>
      <c r="S7" s="8"/>
      <c r="T7" s="12">
        <f>+SUM(Q7:S7)</f>
        <v>875</v>
      </c>
      <c r="U7" s="13">
        <f>+P7-T7</f>
        <v>22052.27</v>
      </c>
    </row>
    <row r="8" spans="1:21" x14ac:dyDescent="0.2">
      <c r="A8" s="52"/>
      <c r="B8" s="6">
        <v>2</v>
      </c>
      <c r="C8" s="7" t="s">
        <v>95</v>
      </c>
      <c r="D8" s="8">
        <v>13818.18</v>
      </c>
      <c r="E8" s="8">
        <v>5181.82</v>
      </c>
      <c r="F8" s="8"/>
      <c r="G8" s="8"/>
      <c r="H8" s="8">
        <v>1300</v>
      </c>
      <c r="I8" s="8">
        <v>1500</v>
      </c>
      <c r="J8" s="9">
        <f t="shared" ref="J8:J18" si="0">+SUM(D8:I8)</f>
        <v>21800</v>
      </c>
      <c r="K8" s="8">
        <v>3456.1</v>
      </c>
      <c r="L8" s="8"/>
      <c r="M8" s="8"/>
      <c r="N8" s="8"/>
      <c r="O8" s="10">
        <f t="shared" ref="O8:O18" si="1">+SUM(K8:N8)</f>
        <v>3456.1</v>
      </c>
      <c r="P8" s="11">
        <f t="shared" ref="P8:P18" si="2">+J8+O8</f>
        <v>25256.1</v>
      </c>
      <c r="Q8" s="22">
        <f t="shared" ref="Q8:Q18" si="3">ROUND(IF((J8+K8)&gt;17500, 875, (J8+K8)*5%), 0)</f>
        <v>875</v>
      </c>
      <c r="R8" s="8"/>
      <c r="S8" s="8"/>
      <c r="T8" s="12">
        <f t="shared" ref="T8:T18" si="4">+SUM(Q8:S8)</f>
        <v>875</v>
      </c>
      <c r="U8" s="13">
        <f t="shared" ref="U8:U18" si="5">+P8-T8</f>
        <v>24381.1</v>
      </c>
    </row>
    <row r="9" spans="1:21" x14ac:dyDescent="0.2">
      <c r="A9" s="52"/>
      <c r="B9" s="6">
        <v>3</v>
      </c>
      <c r="C9" s="7" t="s">
        <v>96</v>
      </c>
      <c r="D9" s="8">
        <v>14181.82</v>
      </c>
      <c r="E9" s="8">
        <v>5318.18</v>
      </c>
      <c r="F9" s="8"/>
      <c r="G9" s="8"/>
      <c r="H9" s="8">
        <v>1300</v>
      </c>
      <c r="I9" s="8">
        <v>1500</v>
      </c>
      <c r="J9" s="9">
        <f t="shared" si="0"/>
        <v>22300</v>
      </c>
      <c r="K9" s="8">
        <v>2800</v>
      </c>
      <c r="L9" s="8"/>
      <c r="M9" s="8"/>
      <c r="N9" s="8"/>
      <c r="O9" s="10">
        <f t="shared" si="1"/>
        <v>2800</v>
      </c>
      <c r="P9" s="11">
        <f t="shared" si="2"/>
        <v>25100</v>
      </c>
      <c r="Q9" s="22">
        <f t="shared" si="3"/>
        <v>875</v>
      </c>
      <c r="R9" s="8"/>
      <c r="S9" s="8"/>
      <c r="T9" s="12">
        <f t="shared" si="4"/>
        <v>875</v>
      </c>
      <c r="U9" s="13">
        <f t="shared" si="5"/>
        <v>24225</v>
      </c>
    </row>
    <row r="10" spans="1:21" x14ac:dyDescent="0.2">
      <c r="A10" s="52"/>
      <c r="B10" s="6">
        <v>4</v>
      </c>
      <c r="C10" s="7" t="s">
        <v>97</v>
      </c>
      <c r="D10" s="8">
        <v>12363.64</v>
      </c>
      <c r="E10" s="8">
        <v>4636.3599999999997</v>
      </c>
      <c r="F10" s="8"/>
      <c r="G10" s="8"/>
      <c r="H10" s="8">
        <v>1100</v>
      </c>
      <c r="I10" s="8">
        <v>1500</v>
      </c>
      <c r="J10" s="9">
        <f t="shared" si="0"/>
        <v>19600</v>
      </c>
      <c r="K10" s="8">
        <v>3000</v>
      </c>
      <c r="L10" s="8"/>
      <c r="M10" s="8"/>
      <c r="N10" s="8"/>
      <c r="O10" s="10">
        <f t="shared" si="1"/>
        <v>3000</v>
      </c>
      <c r="P10" s="11">
        <f t="shared" si="2"/>
        <v>22600</v>
      </c>
      <c r="Q10" s="22">
        <f t="shared" si="3"/>
        <v>875</v>
      </c>
      <c r="R10" s="8"/>
      <c r="S10" s="8"/>
      <c r="T10" s="12">
        <f t="shared" ref="T10:T17" si="6">+SUM(Q10:S10)</f>
        <v>875</v>
      </c>
      <c r="U10" s="13">
        <f t="shared" ref="U10:U17" si="7">+P10-T10</f>
        <v>21725</v>
      </c>
    </row>
    <row r="11" spans="1:21" x14ac:dyDescent="0.2">
      <c r="A11" s="52"/>
      <c r="B11" s="6">
        <v>5</v>
      </c>
      <c r="C11" s="7" t="s">
        <v>98</v>
      </c>
      <c r="D11" s="8">
        <v>10181.82</v>
      </c>
      <c r="E11" s="8">
        <v>3818.18</v>
      </c>
      <c r="F11" s="8"/>
      <c r="G11" s="8"/>
      <c r="H11" s="8">
        <v>1100</v>
      </c>
      <c r="I11" s="8">
        <v>1500</v>
      </c>
      <c r="J11" s="9">
        <f t="shared" si="0"/>
        <v>16600</v>
      </c>
      <c r="K11" s="8">
        <v>2900</v>
      </c>
      <c r="L11" s="8"/>
      <c r="M11" s="8"/>
      <c r="N11" s="8"/>
      <c r="O11" s="10">
        <f t="shared" si="1"/>
        <v>2900</v>
      </c>
      <c r="P11" s="11">
        <f t="shared" si="2"/>
        <v>19500</v>
      </c>
      <c r="Q11" s="22">
        <f t="shared" si="3"/>
        <v>875</v>
      </c>
      <c r="R11" s="8"/>
      <c r="S11" s="8"/>
      <c r="T11" s="12">
        <f t="shared" si="6"/>
        <v>875</v>
      </c>
      <c r="U11" s="13">
        <f t="shared" si="7"/>
        <v>18625</v>
      </c>
    </row>
    <row r="12" spans="1:21" x14ac:dyDescent="0.2">
      <c r="A12" s="52"/>
      <c r="B12" s="6">
        <v>6</v>
      </c>
      <c r="C12" s="7" t="s">
        <v>99</v>
      </c>
      <c r="D12" s="8">
        <v>12363.64</v>
      </c>
      <c r="E12" s="8">
        <v>4636.3599999999997</v>
      </c>
      <c r="F12" s="8"/>
      <c r="G12" s="8"/>
      <c r="H12" s="8">
        <v>1100</v>
      </c>
      <c r="I12" s="8"/>
      <c r="J12" s="9">
        <f t="shared" si="0"/>
        <v>18100</v>
      </c>
      <c r="K12" s="8">
        <v>3000</v>
      </c>
      <c r="L12" s="8"/>
      <c r="M12" s="8">
        <v>500</v>
      </c>
      <c r="N12" s="8"/>
      <c r="O12" s="10">
        <f t="shared" si="1"/>
        <v>3500</v>
      </c>
      <c r="P12" s="11">
        <f t="shared" si="2"/>
        <v>21600</v>
      </c>
      <c r="Q12" s="22">
        <f t="shared" si="3"/>
        <v>875</v>
      </c>
      <c r="R12" s="8"/>
      <c r="S12" s="8"/>
      <c r="T12" s="12">
        <f t="shared" si="6"/>
        <v>875</v>
      </c>
      <c r="U12" s="13">
        <f t="shared" si="7"/>
        <v>20725</v>
      </c>
    </row>
    <row r="13" spans="1:21" x14ac:dyDescent="0.2">
      <c r="A13" s="52"/>
      <c r="B13" s="6">
        <v>7</v>
      </c>
      <c r="C13" s="7" t="s">
        <v>100</v>
      </c>
      <c r="D13" s="8">
        <v>17454.55</v>
      </c>
      <c r="E13" s="8">
        <v>6545.45</v>
      </c>
      <c r="F13" s="8"/>
      <c r="G13" s="8"/>
      <c r="H13" s="8">
        <v>1100</v>
      </c>
      <c r="I13" s="8"/>
      <c r="J13" s="9">
        <f t="shared" si="0"/>
        <v>25100</v>
      </c>
      <c r="K13" s="8">
        <v>3000</v>
      </c>
      <c r="L13" s="8"/>
      <c r="M13" s="8">
        <v>500</v>
      </c>
      <c r="N13" s="8">
        <v>109.09</v>
      </c>
      <c r="O13" s="10">
        <f t="shared" si="1"/>
        <v>3609.09</v>
      </c>
      <c r="P13" s="11">
        <f t="shared" si="2"/>
        <v>28709.09</v>
      </c>
      <c r="Q13" s="22">
        <f t="shared" si="3"/>
        <v>875</v>
      </c>
      <c r="R13" s="8"/>
      <c r="S13" s="8"/>
      <c r="T13" s="12">
        <f t="shared" si="6"/>
        <v>875</v>
      </c>
      <c r="U13" s="13">
        <f t="shared" si="7"/>
        <v>27834.09</v>
      </c>
    </row>
    <row r="14" spans="1:21" x14ac:dyDescent="0.2">
      <c r="A14" s="52"/>
      <c r="B14" s="6">
        <v>8</v>
      </c>
      <c r="C14" s="7" t="s">
        <v>101</v>
      </c>
      <c r="D14" s="8">
        <v>16727.27</v>
      </c>
      <c r="E14" s="8">
        <v>6272.73</v>
      </c>
      <c r="F14" s="8"/>
      <c r="G14" s="8"/>
      <c r="H14" s="8">
        <v>1100</v>
      </c>
      <c r="I14" s="8"/>
      <c r="J14" s="9">
        <f t="shared" si="0"/>
        <v>24100</v>
      </c>
      <c r="K14" s="8">
        <f>2900-766.67</f>
        <v>2133.33</v>
      </c>
      <c r="L14" s="8"/>
      <c r="M14" s="8"/>
      <c r="N14" s="8"/>
      <c r="O14" s="10">
        <f t="shared" si="1"/>
        <v>2133.33</v>
      </c>
      <c r="P14" s="11">
        <f t="shared" si="2"/>
        <v>26233.33</v>
      </c>
      <c r="Q14" s="22">
        <f t="shared" si="3"/>
        <v>875</v>
      </c>
      <c r="R14" s="8"/>
      <c r="S14" s="8"/>
      <c r="T14" s="12">
        <f t="shared" si="6"/>
        <v>875</v>
      </c>
      <c r="U14" s="13">
        <f t="shared" si="7"/>
        <v>25358.33</v>
      </c>
    </row>
    <row r="15" spans="1:21" x14ac:dyDescent="0.2">
      <c r="A15" s="52"/>
      <c r="B15" s="6">
        <v>9</v>
      </c>
      <c r="C15" s="7" t="s">
        <v>102</v>
      </c>
      <c r="D15" s="8">
        <v>13818.18</v>
      </c>
      <c r="E15" s="8">
        <v>5181.82</v>
      </c>
      <c r="F15" s="8"/>
      <c r="G15" s="8"/>
      <c r="H15" s="8">
        <v>1100</v>
      </c>
      <c r="I15" s="8"/>
      <c r="J15" s="9">
        <f t="shared" si="0"/>
        <v>20100</v>
      </c>
      <c r="K15" s="8">
        <f>2610-633.33</f>
        <v>1976.67</v>
      </c>
      <c r="L15" s="8"/>
      <c r="M15" s="8"/>
      <c r="N15" s="8"/>
      <c r="O15" s="10">
        <f t="shared" si="1"/>
        <v>1976.67</v>
      </c>
      <c r="P15" s="11">
        <f t="shared" si="2"/>
        <v>22076.67</v>
      </c>
      <c r="Q15" s="22">
        <f t="shared" si="3"/>
        <v>875</v>
      </c>
      <c r="R15" s="8"/>
      <c r="S15" s="8"/>
      <c r="T15" s="12">
        <f t="shared" si="6"/>
        <v>875</v>
      </c>
      <c r="U15" s="13">
        <f t="shared" si="7"/>
        <v>21201.67</v>
      </c>
    </row>
    <row r="16" spans="1:21" x14ac:dyDescent="0.2">
      <c r="A16" s="52"/>
      <c r="B16" s="6">
        <v>10</v>
      </c>
      <c r="C16" s="7" t="s">
        <v>103</v>
      </c>
      <c r="D16" s="8">
        <v>23000</v>
      </c>
      <c r="E16" s="8">
        <v>3450</v>
      </c>
      <c r="F16" s="8"/>
      <c r="G16" s="8"/>
      <c r="H16" s="8">
        <v>1100</v>
      </c>
      <c r="I16" s="8"/>
      <c r="J16" s="9">
        <f t="shared" si="0"/>
        <v>27550</v>
      </c>
      <c r="K16" s="8">
        <v>3000</v>
      </c>
      <c r="L16" s="8"/>
      <c r="M16" s="8">
        <v>500</v>
      </c>
      <c r="N16" s="8"/>
      <c r="O16" s="10">
        <f t="shared" si="1"/>
        <v>3500</v>
      </c>
      <c r="P16" s="11">
        <f t="shared" si="2"/>
        <v>31050</v>
      </c>
      <c r="Q16" s="22">
        <f t="shared" si="3"/>
        <v>875</v>
      </c>
      <c r="R16" s="8"/>
      <c r="S16" s="8"/>
      <c r="T16" s="12">
        <f t="shared" si="6"/>
        <v>875</v>
      </c>
      <c r="U16" s="13">
        <f t="shared" si="7"/>
        <v>30175</v>
      </c>
    </row>
    <row r="17" spans="1:21" x14ac:dyDescent="0.2">
      <c r="A17" s="52"/>
      <c r="B17" s="6">
        <v>11</v>
      </c>
      <c r="C17" s="7" t="s">
        <v>104</v>
      </c>
      <c r="D17" s="8">
        <v>12000</v>
      </c>
      <c r="E17" s="8">
        <v>4500</v>
      </c>
      <c r="F17" s="8"/>
      <c r="G17" s="8"/>
      <c r="H17" s="8">
        <v>1100</v>
      </c>
      <c r="I17" s="8"/>
      <c r="J17" s="9">
        <f t="shared" si="0"/>
        <v>17600</v>
      </c>
      <c r="K17" s="8">
        <v>3000</v>
      </c>
      <c r="L17" s="8"/>
      <c r="M17" s="8">
        <v>500</v>
      </c>
      <c r="N17" s="8"/>
      <c r="O17" s="10">
        <f t="shared" si="1"/>
        <v>3500</v>
      </c>
      <c r="P17" s="11">
        <f t="shared" si="2"/>
        <v>21100</v>
      </c>
      <c r="Q17" s="22">
        <f t="shared" si="3"/>
        <v>875</v>
      </c>
      <c r="R17" s="8"/>
      <c r="S17" s="8"/>
      <c r="T17" s="12">
        <f t="shared" si="6"/>
        <v>875</v>
      </c>
      <c r="U17" s="13">
        <f t="shared" si="7"/>
        <v>20225</v>
      </c>
    </row>
    <row r="18" spans="1:21" x14ac:dyDescent="0.2">
      <c r="A18" s="52"/>
      <c r="B18" s="6">
        <v>13</v>
      </c>
      <c r="C18" s="7" t="s">
        <v>106</v>
      </c>
      <c r="D18" s="8">
        <v>10909.09</v>
      </c>
      <c r="E18" s="8">
        <v>4090.91</v>
      </c>
      <c r="F18" s="8"/>
      <c r="G18" s="8">
        <v>2000</v>
      </c>
      <c r="H18" s="8">
        <v>1100</v>
      </c>
      <c r="I18" s="8"/>
      <c r="J18" s="9">
        <f t="shared" si="0"/>
        <v>18100</v>
      </c>
      <c r="K18" s="8">
        <f>3000-607</f>
        <v>2393</v>
      </c>
      <c r="L18" s="8"/>
      <c r="M18" s="8">
        <v>500</v>
      </c>
      <c r="N18" s="8"/>
      <c r="O18" s="10">
        <f t="shared" si="1"/>
        <v>2893</v>
      </c>
      <c r="P18" s="11">
        <f t="shared" si="2"/>
        <v>20993</v>
      </c>
      <c r="Q18" s="22">
        <f t="shared" si="3"/>
        <v>875</v>
      </c>
      <c r="R18" s="8"/>
      <c r="S18" s="8"/>
      <c r="T18" s="12">
        <f t="shared" si="4"/>
        <v>875</v>
      </c>
      <c r="U18" s="13">
        <f t="shared" si="5"/>
        <v>20118</v>
      </c>
    </row>
    <row r="19" spans="1:21" x14ac:dyDescent="0.2">
      <c r="A19" s="62" t="s">
        <v>37</v>
      </c>
      <c r="B19" s="62"/>
      <c r="C19" s="62"/>
      <c r="D19" s="25">
        <f t="shared" ref="D19:U19" si="8">+SUM(D7:D18)</f>
        <v>169909.1</v>
      </c>
      <c r="E19" s="25">
        <f t="shared" si="8"/>
        <v>58540.899999999994</v>
      </c>
      <c r="F19" s="25">
        <f t="shared" si="8"/>
        <v>0</v>
      </c>
      <c r="G19" s="25">
        <f t="shared" si="8"/>
        <v>2000</v>
      </c>
      <c r="H19" s="25">
        <f t="shared" si="8"/>
        <v>13600</v>
      </c>
      <c r="I19" s="25">
        <f t="shared" si="8"/>
        <v>6000</v>
      </c>
      <c r="J19" s="25">
        <f t="shared" si="8"/>
        <v>250050</v>
      </c>
      <c r="K19" s="25">
        <f t="shared" si="8"/>
        <v>33659.1</v>
      </c>
      <c r="L19" s="25">
        <f t="shared" si="8"/>
        <v>0</v>
      </c>
      <c r="M19" s="25">
        <f t="shared" si="8"/>
        <v>3000</v>
      </c>
      <c r="N19" s="25">
        <f t="shared" si="8"/>
        <v>436.36</v>
      </c>
      <c r="O19" s="25">
        <f t="shared" si="8"/>
        <v>37095.46</v>
      </c>
      <c r="P19" s="25">
        <f t="shared" si="8"/>
        <v>287145.45999999996</v>
      </c>
      <c r="Q19" s="25">
        <f t="shared" si="8"/>
        <v>10500</v>
      </c>
      <c r="R19" s="25">
        <f t="shared" si="8"/>
        <v>0</v>
      </c>
      <c r="S19" s="25">
        <f t="shared" si="8"/>
        <v>0</v>
      </c>
      <c r="T19" s="25">
        <f t="shared" si="8"/>
        <v>10500</v>
      </c>
      <c r="U19" s="25">
        <f t="shared" si="8"/>
        <v>276645.45999999996</v>
      </c>
    </row>
    <row r="21" spans="1:21" x14ac:dyDescent="0.2">
      <c r="A21" s="42" t="s">
        <v>25</v>
      </c>
      <c r="B21" s="46" t="s">
        <v>5</v>
      </c>
      <c r="C21" s="46" t="s">
        <v>6</v>
      </c>
      <c r="D21" s="46" t="s">
        <v>21</v>
      </c>
      <c r="E21" s="46"/>
      <c r="F21" s="46"/>
      <c r="G21" s="46"/>
      <c r="H21" s="46"/>
      <c r="I21" s="46"/>
      <c r="J21" s="46" t="s">
        <v>11</v>
      </c>
      <c r="K21" s="46" t="s">
        <v>14</v>
      </c>
      <c r="L21" s="46"/>
      <c r="M21" s="46"/>
      <c r="N21" s="46"/>
      <c r="O21" s="47" t="s">
        <v>29</v>
      </c>
      <c r="P21" s="46" t="s">
        <v>18</v>
      </c>
      <c r="Q21" s="46" t="s">
        <v>26</v>
      </c>
      <c r="R21" s="46" t="s">
        <v>23</v>
      </c>
      <c r="S21" s="46" t="s">
        <v>40</v>
      </c>
    </row>
    <row r="22" spans="1:21" x14ac:dyDescent="0.2">
      <c r="A22" s="43"/>
      <c r="B22" s="46"/>
      <c r="C22" s="46"/>
      <c r="D22" s="17" t="s">
        <v>7</v>
      </c>
      <c r="E22" s="17" t="s">
        <v>8</v>
      </c>
      <c r="F22" s="17" t="s">
        <v>9</v>
      </c>
      <c r="G22" s="17" t="s">
        <v>10</v>
      </c>
      <c r="H22" s="17" t="s">
        <v>12</v>
      </c>
      <c r="I22" s="17" t="s">
        <v>13</v>
      </c>
      <c r="J22" s="46"/>
      <c r="K22" s="17" t="s">
        <v>15</v>
      </c>
      <c r="L22" s="17" t="s">
        <v>16</v>
      </c>
      <c r="M22" s="17"/>
      <c r="N22" s="17" t="s">
        <v>17</v>
      </c>
      <c r="O22" s="47"/>
      <c r="P22" s="46"/>
      <c r="Q22" s="46"/>
      <c r="R22" s="46"/>
      <c r="S22" s="46"/>
    </row>
    <row r="23" spans="1:21" x14ac:dyDescent="0.2">
      <c r="A23" s="43"/>
      <c r="B23" s="6">
        <v>1</v>
      </c>
      <c r="C23" s="7" t="s">
        <v>41</v>
      </c>
      <c r="D23" s="8"/>
      <c r="E23" s="8"/>
      <c r="F23" s="8"/>
      <c r="G23" s="8"/>
      <c r="H23" s="8"/>
      <c r="I23" s="8"/>
      <c r="J23" s="10">
        <f>+SUM(D23:I23)</f>
        <v>0</v>
      </c>
      <c r="K23" s="8">
        <v>3840.11</v>
      </c>
      <c r="L23" s="8"/>
      <c r="M23" s="8"/>
      <c r="N23" s="8"/>
      <c r="O23" s="10">
        <f>+SUM(K23:N23)</f>
        <v>3840.11</v>
      </c>
      <c r="P23" s="22">
        <f>+J23+O23</f>
        <v>3840.11</v>
      </c>
      <c r="Q23" s="18">
        <f>IF(P23 &lt; 1000, 0, P23 * 3%)</f>
        <v>115.2033</v>
      </c>
      <c r="R23" s="23">
        <f>+P23-Q23</f>
        <v>3724.9067</v>
      </c>
      <c r="S23" s="44">
        <v>244444</v>
      </c>
    </row>
    <row r="24" spans="1:21" x14ac:dyDescent="0.2">
      <c r="A24" s="53"/>
      <c r="B24" s="6">
        <v>2</v>
      </c>
      <c r="C24" s="7" t="s">
        <v>105</v>
      </c>
      <c r="D24" s="8"/>
      <c r="E24" s="8"/>
      <c r="F24" s="8"/>
      <c r="G24" s="8"/>
      <c r="H24" s="8"/>
      <c r="I24" s="8"/>
      <c r="J24" s="10"/>
      <c r="K24" s="8">
        <v>500</v>
      </c>
      <c r="L24" s="8"/>
      <c r="M24" s="8"/>
      <c r="N24" s="8"/>
      <c r="O24" s="10">
        <f>+SUM(K24:N24)</f>
        <v>500</v>
      </c>
      <c r="P24" s="22">
        <f>+J24+O24</f>
        <v>500</v>
      </c>
      <c r="Q24" s="18">
        <f>IF(P24 &lt; 1000, 0, P24 * 3%)</f>
        <v>0</v>
      </c>
      <c r="R24" s="23">
        <f>+P24-Q24</f>
        <v>500</v>
      </c>
      <c r="S24" s="54"/>
    </row>
    <row r="25" spans="1:21" x14ac:dyDescent="0.2">
      <c r="A25" s="62" t="s">
        <v>39</v>
      </c>
      <c r="B25" s="62"/>
      <c r="C25" s="62"/>
      <c r="D25" s="26">
        <f t="shared" ref="D25:Q25" si="9">+SUM(D23:D24)</f>
        <v>0</v>
      </c>
      <c r="E25" s="26">
        <f t="shared" si="9"/>
        <v>0</v>
      </c>
      <c r="F25" s="26">
        <f t="shared" si="9"/>
        <v>0</v>
      </c>
      <c r="G25" s="26">
        <f t="shared" si="9"/>
        <v>0</v>
      </c>
      <c r="H25" s="26">
        <f t="shared" si="9"/>
        <v>0</v>
      </c>
      <c r="I25" s="26">
        <f t="shared" si="9"/>
        <v>0</v>
      </c>
      <c r="J25" s="26">
        <f t="shared" si="9"/>
        <v>0</v>
      </c>
      <c r="K25" s="26">
        <f t="shared" si="9"/>
        <v>4340.1100000000006</v>
      </c>
      <c r="L25" s="26">
        <f t="shared" si="9"/>
        <v>0</v>
      </c>
      <c r="M25" s="26">
        <f t="shared" si="9"/>
        <v>0</v>
      </c>
      <c r="N25" s="26">
        <f t="shared" si="9"/>
        <v>0</v>
      </c>
      <c r="O25" s="26">
        <f t="shared" si="9"/>
        <v>4340.1100000000006</v>
      </c>
      <c r="P25" s="26">
        <f t="shared" si="9"/>
        <v>4340.1100000000006</v>
      </c>
      <c r="Q25" s="26">
        <f t="shared" si="9"/>
        <v>115.2033</v>
      </c>
      <c r="R25" s="26">
        <f>+SUM(R23:R24)</f>
        <v>4224.9066999999995</v>
      </c>
      <c r="S25" s="26"/>
    </row>
  </sheetData>
  <mergeCells count="28">
    <mergeCell ref="S23:S24"/>
    <mergeCell ref="R21:R22"/>
    <mergeCell ref="S21:S22"/>
    <mergeCell ref="B21:B22"/>
    <mergeCell ref="C21:C22"/>
    <mergeCell ref="D21:I21"/>
    <mergeCell ref="J21:J22"/>
    <mergeCell ref="A25:C25"/>
    <mergeCell ref="K21:N21"/>
    <mergeCell ref="O21:O22"/>
    <mergeCell ref="P21:P22"/>
    <mergeCell ref="Q21:Q22"/>
    <mergeCell ref="A21:A24"/>
    <mergeCell ref="T5:T6"/>
    <mergeCell ref="U5:U6"/>
    <mergeCell ref="A19:C19"/>
    <mergeCell ref="D5:I5"/>
    <mergeCell ref="J5:J6"/>
    <mergeCell ref="K5:N5"/>
    <mergeCell ref="O5:O6"/>
    <mergeCell ref="P5:P6"/>
    <mergeCell ref="Q5:S5"/>
    <mergeCell ref="C5:C6"/>
    <mergeCell ref="A1:B1"/>
    <mergeCell ref="A2:B2"/>
    <mergeCell ref="A3:B3"/>
    <mergeCell ref="A5:A18"/>
    <mergeCell ref="B5:B6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21</xdr:col>
                    <xdr:colOff>209550</xdr:colOff>
                    <xdr:row>6</xdr:row>
                    <xdr:rowOff>19050</xdr:rowOff>
                  </from>
                  <to>
                    <xdr:col>21</xdr:col>
                    <xdr:colOff>638175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21</xdr:col>
                    <xdr:colOff>209550</xdr:colOff>
                    <xdr:row>6</xdr:row>
                    <xdr:rowOff>19050</xdr:rowOff>
                  </from>
                  <to>
                    <xdr:col>21</xdr:col>
                    <xdr:colOff>638175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21</xdr:col>
                    <xdr:colOff>209550</xdr:colOff>
                    <xdr:row>7</xdr:row>
                    <xdr:rowOff>19050</xdr:rowOff>
                  </from>
                  <to>
                    <xdr:col>21</xdr:col>
                    <xdr:colOff>638175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21</xdr:col>
                    <xdr:colOff>209550</xdr:colOff>
                    <xdr:row>7</xdr:row>
                    <xdr:rowOff>19050</xdr:rowOff>
                  </from>
                  <to>
                    <xdr:col>21</xdr:col>
                    <xdr:colOff>638175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Check Box 5">
              <controlPr defaultSize="0" autoFill="0" autoLine="0" autoPict="0">
                <anchor moveWithCells="1">
                  <from>
                    <xdr:col>21</xdr:col>
                    <xdr:colOff>209550</xdr:colOff>
                    <xdr:row>8</xdr:row>
                    <xdr:rowOff>19050</xdr:rowOff>
                  </from>
                  <to>
                    <xdr:col>21</xdr:col>
                    <xdr:colOff>638175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Check Box 6">
              <controlPr defaultSize="0" autoFill="0" autoLine="0" autoPict="0">
                <anchor moveWithCells="1">
                  <from>
                    <xdr:col>21</xdr:col>
                    <xdr:colOff>209550</xdr:colOff>
                    <xdr:row>8</xdr:row>
                    <xdr:rowOff>19050</xdr:rowOff>
                  </from>
                  <to>
                    <xdr:col>21</xdr:col>
                    <xdr:colOff>638175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Check Box 7">
              <controlPr defaultSize="0" autoFill="0" autoLine="0" autoPict="0">
                <anchor moveWithCells="1">
                  <from>
                    <xdr:col>21</xdr:col>
                    <xdr:colOff>209550</xdr:colOff>
                    <xdr:row>9</xdr:row>
                    <xdr:rowOff>19050</xdr:rowOff>
                  </from>
                  <to>
                    <xdr:col>21</xdr:col>
                    <xdr:colOff>638175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Check Box 8">
              <controlPr defaultSize="0" autoFill="0" autoLine="0" autoPict="0">
                <anchor moveWithCells="1">
                  <from>
                    <xdr:col>21</xdr:col>
                    <xdr:colOff>209550</xdr:colOff>
                    <xdr:row>9</xdr:row>
                    <xdr:rowOff>19050</xdr:rowOff>
                  </from>
                  <to>
                    <xdr:col>21</xdr:col>
                    <xdr:colOff>638175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2" name="Check Box 9">
              <controlPr defaultSize="0" autoFill="0" autoLine="0" autoPict="0">
                <anchor moveWithCells="1">
                  <from>
                    <xdr:col>21</xdr:col>
                    <xdr:colOff>209550</xdr:colOff>
                    <xdr:row>10</xdr:row>
                    <xdr:rowOff>19050</xdr:rowOff>
                  </from>
                  <to>
                    <xdr:col>21</xdr:col>
                    <xdr:colOff>638175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3" name="Check Box 10">
              <controlPr defaultSize="0" autoFill="0" autoLine="0" autoPict="0">
                <anchor moveWithCells="1">
                  <from>
                    <xdr:col>21</xdr:col>
                    <xdr:colOff>209550</xdr:colOff>
                    <xdr:row>10</xdr:row>
                    <xdr:rowOff>19050</xdr:rowOff>
                  </from>
                  <to>
                    <xdr:col>21</xdr:col>
                    <xdr:colOff>638175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4" name="Check Box 11">
              <controlPr defaultSize="0" autoFill="0" autoLine="0" autoPict="0">
                <anchor moveWithCells="1">
                  <from>
                    <xdr:col>21</xdr:col>
                    <xdr:colOff>209550</xdr:colOff>
                    <xdr:row>11</xdr:row>
                    <xdr:rowOff>19050</xdr:rowOff>
                  </from>
                  <to>
                    <xdr:col>21</xdr:col>
                    <xdr:colOff>638175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5" name="Check Box 12">
              <controlPr defaultSize="0" autoFill="0" autoLine="0" autoPict="0">
                <anchor moveWithCells="1">
                  <from>
                    <xdr:col>21</xdr:col>
                    <xdr:colOff>209550</xdr:colOff>
                    <xdr:row>11</xdr:row>
                    <xdr:rowOff>19050</xdr:rowOff>
                  </from>
                  <to>
                    <xdr:col>21</xdr:col>
                    <xdr:colOff>638175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6" name="Check Box 13">
              <controlPr defaultSize="0" autoFill="0" autoLine="0" autoPict="0">
                <anchor moveWithCells="1">
                  <from>
                    <xdr:col>21</xdr:col>
                    <xdr:colOff>209550</xdr:colOff>
                    <xdr:row>12</xdr:row>
                    <xdr:rowOff>19050</xdr:rowOff>
                  </from>
                  <to>
                    <xdr:col>21</xdr:col>
                    <xdr:colOff>638175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7" name="Check Box 14">
              <controlPr defaultSize="0" autoFill="0" autoLine="0" autoPict="0">
                <anchor moveWithCells="1">
                  <from>
                    <xdr:col>21</xdr:col>
                    <xdr:colOff>209550</xdr:colOff>
                    <xdr:row>12</xdr:row>
                    <xdr:rowOff>19050</xdr:rowOff>
                  </from>
                  <to>
                    <xdr:col>21</xdr:col>
                    <xdr:colOff>638175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8" name="Check Box 15">
              <controlPr defaultSize="0" autoFill="0" autoLine="0" autoPict="0">
                <anchor moveWithCells="1">
                  <from>
                    <xdr:col>21</xdr:col>
                    <xdr:colOff>209550</xdr:colOff>
                    <xdr:row>13</xdr:row>
                    <xdr:rowOff>19050</xdr:rowOff>
                  </from>
                  <to>
                    <xdr:col>21</xdr:col>
                    <xdr:colOff>638175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9" name="Check Box 16">
              <controlPr defaultSize="0" autoFill="0" autoLine="0" autoPict="0">
                <anchor moveWithCells="1">
                  <from>
                    <xdr:col>21</xdr:col>
                    <xdr:colOff>209550</xdr:colOff>
                    <xdr:row>13</xdr:row>
                    <xdr:rowOff>19050</xdr:rowOff>
                  </from>
                  <to>
                    <xdr:col>21</xdr:col>
                    <xdr:colOff>638175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0" name="Check Box 17">
              <controlPr defaultSize="0" autoFill="0" autoLine="0" autoPict="0">
                <anchor moveWithCells="1">
                  <from>
                    <xdr:col>21</xdr:col>
                    <xdr:colOff>209550</xdr:colOff>
                    <xdr:row>14</xdr:row>
                    <xdr:rowOff>19050</xdr:rowOff>
                  </from>
                  <to>
                    <xdr:col>21</xdr:col>
                    <xdr:colOff>638175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1" name="Check Box 18">
              <controlPr defaultSize="0" autoFill="0" autoLine="0" autoPict="0">
                <anchor moveWithCells="1">
                  <from>
                    <xdr:col>21</xdr:col>
                    <xdr:colOff>209550</xdr:colOff>
                    <xdr:row>14</xdr:row>
                    <xdr:rowOff>19050</xdr:rowOff>
                  </from>
                  <to>
                    <xdr:col>21</xdr:col>
                    <xdr:colOff>638175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2" name="Check Box 19">
              <controlPr defaultSize="0" autoFill="0" autoLine="0" autoPict="0">
                <anchor moveWithCells="1">
                  <from>
                    <xdr:col>21</xdr:col>
                    <xdr:colOff>209550</xdr:colOff>
                    <xdr:row>15</xdr:row>
                    <xdr:rowOff>19050</xdr:rowOff>
                  </from>
                  <to>
                    <xdr:col>21</xdr:col>
                    <xdr:colOff>638175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3" name="Check Box 20">
              <controlPr defaultSize="0" autoFill="0" autoLine="0" autoPict="0">
                <anchor moveWithCells="1">
                  <from>
                    <xdr:col>21</xdr:col>
                    <xdr:colOff>209550</xdr:colOff>
                    <xdr:row>15</xdr:row>
                    <xdr:rowOff>19050</xdr:rowOff>
                  </from>
                  <to>
                    <xdr:col>21</xdr:col>
                    <xdr:colOff>638175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4" name="Check Box 21">
              <controlPr defaultSize="0" autoFill="0" autoLine="0" autoPict="0">
                <anchor moveWithCells="1">
                  <from>
                    <xdr:col>21</xdr:col>
                    <xdr:colOff>209550</xdr:colOff>
                    <xdr:row>16</xdr:row>
                    <xdr:rowOff>19050</xdr:rowOff>
                  </from>
                  <to>
                    <xdr:col>21</xdr:col>
                    <xdr:colOff>638175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5" name="Check Box 22">
              <controlPr defaultSize="0" autoFill="0" autoLine="0" autoPict="0">
                <anchor moveWithCells="1">
                  <from>
                    <xdr:col>21</xdr:col>
                    <xdr:colOff>209550</xdr:colOff>
                    <xdr:row>16</xdr:row>
                    <xdr:rowOff>19050</xdr:rowOff>
                  </from>
                  <to>
                    <xdr:col>21</xdr:col>
                    <xdr:colOff>638175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6" name="Check Box 23">
              <controlPr defaultSize="0" autoFill="0" autoLine="0" autoPict="0">
                <anchor moveWithCells="1">
                  <from>
                    <xdr:col>21</xdr:col>
                    <xdr:colOff>209550</xdr:colOff>
                    <xdr:row>17</xdr:row>
                    <xdr:rowOff>0</xdr:rowOff>
                  </from>
                  <to>
                    <xdr:col>21</xdr:col>
                    <xdr:colOff>638175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7" name="Check Box 24">
              <controlPr defaultSize="0" autoFill="0" autoLine="0" autoPict="0">
                <anchor moveWithCells="1">
                  <from>
                    <xdr:col>21</xdr:col>
                    <xdr:colOff>209550</xdr:colOff>
                    <xdr:row>17</xdr:row>
                    <xdr:rowOff>0</xdr:rowOff>
                  </from>
                  <to>
                    <xdr:col>21</xdr:col>
                    <xdr:colOff>638175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28" name="Check Box 27">
              <controlPr defaultSize="0" autoFill="0" autoLine="0" autoPict="0">
                <anchor moveWithCells="1">
                  <from>
                    <xdr:col>19</xdr:col>
                    <xdr:colOff>209550</xdr:colOff>
                    <xdr:row>22</xdr:row>
                    <xdr:rowOff>19050</xdr:rowOff>
                  </from>
                  <to>
                    <xdr:col>19</xdr:col>
                    <xdr:colOff>638175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29" name="Check Box 28">
              <controlPr defaultSize="0" autoFill="0" autoLine="0" autoPict="0">
                <anchor moveWithCells="1">
                  <from>
                    <xdr:col>19</xdr:col>
                    <xdr:colOff>209550</xdr:colOff>
                    <xdr:row>22</xdr:row>
                    <xdr:rowOff>19050</xdr:rowOff>
                  </from>
                  <to>
                    <xdr:col>19</xdr:col>
                    <xdr:colOff>638175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30" name="Check Box 39">
              <controlPr defaultSize="0" autoFill="0" autoLine="0" autoPict="0">
                <anchor moveWithCells="1">
                  <from>
                    <xdr:col>19</xdr:col>
                    <xdr:colOff>209550</xdr:colOff>
                    <xdr:row>23</xdr:row>
                    <xdr:rowOff>19050</xdr:rowOff>
                  </from>
                  <to>
                    <xdr:col>19</xdr:col>
                    <xdr:colOff>638175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31" name="Check Box 40">
              <controlPr defaultSize="0" autoFill="0" autoLine="0" autoPict="0">
                <anchor moveWithCells="1">
                  <from>
                    <xdr:col>19</xdr:col>
                    <xdr:colOff>209550</xdr:colOff>
                    <xdr:row>23</xdr:row>
                    <xdr:rowOff>19050</xdr:rowOff>
                  </from>
                  <to>
                    <xdr:col>19</xdr:col>
                    <xdr:colOff>638175</xdr:colOff>
                    <xdr:row>23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FBE4-3FE3-45F8-9C04-8BE0C3B76110}">
  <sheetPr codeName="Sheet8">
    <tabColor rgb="FFFFC000"/>
    <pageSetUpPr fitToPage="1"/>
  </sheetPr>
  <dimension ref="A1:U29"/>
  <sheetViews>
    <sheetView zoomScale="85" zoomScaleNormal="85" workbookViewId="0">
      <selection activeCell="Q19" sqref="Q19"/>
    </sheetView>
  </sheetViews>
  <sheetFormatPr defaultColWidth="9" defaultRowHeight="21" x14ac:dyDescent="0.2"/>
  <cols>
    <col min="1" max="1" width="24.375" style="2" bestFit="1" customWidth="1"/>
    <col min="2" max="2" width="8.75" style="2" bestFit="1" customWidth="1"/>
    <col min="3" max="3" width="45.75" style="2" bestFit="1" customWidth="1"/>
    <col min="4" max="4" width="9" style="2" bestFit="1" customWidth="1"/>
    <col min="5" max="5" width="8.25" style="2" bestFit="1" customWidth="1"/>
    <col min="6" max="6" width="7.875" style="2" bestFit="1" customWidth="1"/>
    <col min="7" max="7" width="7.5" style="2" bestFit="1" customWidth="1"/>
    <col min="8" max="8" width="8.25" style="2" bestFit="1" customWidth="1"/>
    <col min="9" max="9" width="7.375" style="2" bestFit="1" customWidth="1"/>
    <col min="10" max="10" width="9" style="2" bestFit="1" customWidth="1"/>
    <col min="11" max="11" width="8.25" style="2" bestFit="1" customWidth="1"/>
    <col min="12" max="13" width="7.375" style="2" bestFit="1" customWidth="1"/>
    <col min="14" max="14" width="6.25" style="2" bestFit="1" customWidth="1"/>
    <col min="15" max="15" width="12.75" style="2" bestFit="1" customWidth="1"/>
    <col min="16" max="16" width="9" style="2" bestFit="1" customWidth="1"/>
    <col min="17" max="18" width="8.25" style="2" bestFit="1" customWidth="1"/>
    <col min="19" max="19" width="7.75" style="2" bestFit="1" customWidth="1"/>
    <col min="20" max="20" width="10.25" style="2" bestFit="1" customWidth="1"/>
    <col min="21" max="21" width="9" style="2" bestFit="1" customWidth="1"/>
    <col min="22" max="16384" width="9" style="2"/>
  </cols>
  <sheetData>
    <row r="1" spans="1:21" x14ac:dyDescent="0.2">
      <c r="A1" s="38" t="s">
        <v>0</v>
      </c>
      <c r="B1" s="38"/>
      <c r="C1" s="1" t="s">
        <v>72</v>
      </c>
    </row>
    <row r="2" spans="1:21" x14ac:dyDescent="0.2">
      <c r="A2" s="38" t="s">
        <v>2</v>
      </c>
      <c r="B2" s="38"/>
      <c r="C2" s="3">
        <f>+ARI!C2</f>
        <v>244444</v>
      </c>
    </row>
    <row r="3" spans="1:21" x14ac:dyDescent="0.2">
      <c r="A3" s="38" t="s">
        <v>3</v>
      </c>
      <c r="B3" s="38"/>
      <c r="C3" s="3">
        <f>+ARI!C3</f>
        <v>244469</v>
      </c>
    </row>
    <row r="5" spans="1:21" x14ac:dyDescent="0.2">
      <c r="A5" s="42" t="s">
        <v>4</v>
      </c>
      <c r="B5" s="39" t="s">
        <v>5</v>
      </c>
      <c r="C5" s="39" t="s">
        <v>6</v>
      </c>
      <c r="D5" s="39" t="s">
        <v>21</v>
      </c>
      <c r="E5" s="39"/>
      <c r="F5" s="39"/>
      <c r="G5" s="39"/>
      <c r="H5" s="39"/>
      <c r="I5" s="39"/>
      <c r="J5" s="39" t="s">
        <v>11</v>
      </c>
      <c r="K5" s="39" t="s">
        <v>14</v>
      </c>
      <c r="L5" s="39"/>
      <c r="M5" s="39"/>
      <c r="N5" s="39"/>
      <c r="O5" s="40" t="s">
        <v>29</v>
      </c>
      <c r="P5" s="39" t="s">
        <v>18</v>
      </c>
      <c r="Q5" s="39" t="s">
        <v>19</v>
      </c>
      <c r="R5" s="39"/>
      <c r="S5" s="39"/>
      <c r="T5" s="40" t="s">
        <v>22</v>
      </c>
      <c r="U5" s="39" t="s">
        <v>23</v>
      </c>
    </row>
    <row r="6" spans="1:21" x14ac:dyDescent="0.2">
      <c r="A6" s="43"/>
      <c r="B6" s="39"/>
      <c r="C6" s="39"/>
      <c r="D6" s="5" t="s">
        <v>7</v>
      </c>
      <c r="E6" s="5" t="s">
        <v>8</v>
      </c>
      <c r="F6" s="5" t="s">
        <v>9</v>
      </c>
      <c r="G6" s="5" t="s">
        <v>10</v>
      </c>
      <c r="H6" s="5" t="s">
        <v>12</v>
      </c>
      <c r="I6" s="5" t="s">
        <v>13</v>
      </c>
      <c r="J6" s="39"/>
      <c r="K6" s="5" t="s">
        <v>15</v>
      </c>
      <c r="L6" s="5" t="s">
        <v>16</v>
      </c>
      <c r="M6" s="5" t="s">
        <v>43</v>
      </c>
      <c r="N6" s="5" t="s">
        <v>17</v>
      </c>
      <c r="O6" s="40"/>
      <c r="P6" s="39"/>
      <c r="Q6" s="5" t="s">
        <v>30</v>
      </c>
      <c r="R6" s="5" t="s">
        <v>31</v>
      </c>
      <c r="S6" s="5" t="s">
        <v>20</v>
      </c>
      <c r="T6" s="40"/>
      <c r="U6" s="39"/>
    </row>
    <row r="7" spans="1:21" x14ac:dyDescent="0.2">
      <c r="A7" s="43"/>
      <c r="B7" s="6">
        <v>1</v>
      </c>
      <c r="C7" s="7" t="s">
        <v>127</v>
      </c>
      <c r="D7" s="8">
        <v>14545.45</v>
      </c>
      <c r="E7" s="8">
        <v>5454.55</v>
      </c>
      <c r="F7" s="8"/>
      <c r="G7" s="8"/>
      <c r="H7" s="8">
        <v>1300</v>
      </c>
      <c r="I7" s="8"/>
      <c r="J7" s="9">
        <f>+SUM(D7:I7)</f>
        <v>21300</v>
      </c>
      <c r="K7" s="8">
        <v>5258.77</v>
      </c>
      <c r="L7" s="8"/>
      <c r="M7" s="8">
        <v>500</v>
      </c>
      <c r="N7" s="8">
        <v>181.82</v>
      </c>
      <c r="O7" s="9">
        <f>+SUM(K7:N7)</f>
        <v>5940.59</v>
      </c>
      <c r="P7" s="11">
        <f>+J7+O7</f>
        <v>27240.59</v>
      </c>
      <c r="Q7" s="22">
        <f>ROUND(IF((J7+K7)&gt;17500, 875, (J7+K7)*5%), 0)</f>
        <v>875</v>
      </c>
      <c r="R7" s="8"/>
      <c r="S7" s="8"/>
      <c r="T7" s="12">
        <f>+SUM(Q7:S7)</f>
        <v>875</v>
      </c>
      <c r="U7" s="13">
        <f>+P7-T7</f>
        <v>26365.59</v>
      </c>
    </row>
    <row r="8" spans="1:21" x14ac:dyDescent="0.2">
      <c r="A8" s="43"/>
      <c r="B8" s="6">
        <v>3</v>
      </c>
      <c r="C8" s="7" t="s">
        <v>128</v>
      </c>
      <c r="D8" s="8">
        <v>11272.73</v>
      </c>
      <c r="E8" s="8">
        <v>4227.2700000000004</v>
      </c>
      <c r="F8" s="8"/>
      <c r="G8" s="8"/>
      <c r="H8" s="8">
        <v>1100</v>
      </c>
      <c r="I8" s="8"/>
      <c r="J8" s="9">
        <f t="shared" ref="J8:J19" si="0">+SUM(D8:I8)</f>
        <v>16600</v>
      </c>
      <c r="K8" s="8">
        <f>2700-516.67</f>
        <v>2183.33</v>
      </c>
      <c r="L8" s="8"/>
      <c r="M8" s="8"/>
      <c r="N8" s="8"/>
      <c r="O8" s="9">
        <f t="shared" ref="O8:O10" si="1">+SUM(K8:N8)</f>
        <v>2183.33</v>
      </c>
      <c r="P8" s="11">
        <f t="shared" ref="P8:P10" si="2">+J8+O8</f>
        <v>18783.330000000002</v>
      </c>
      <c r="Q8" s="22">
        <f t="shared" ref="Q8:Q19" si="3">ROUND(IF((J8+K8)&gt;17500, 875, (J8+K8)*5%), 0)</f>
        <v>875</v>
      </c>
      <c r="R8" s="8"/>
      <c r="S8" s="8"/>
      <c r="T8" s="12">
        <f t="shared" ref="T8:T10" si="4">+SUM(Q8:S8)</f>
        <v>875</v>
      </c>
      <c r="U8" s="13">
        <f t="shared" ref="U8:U10" si="5">+P8-T8</f>
        <v>17908.330000000002</v>
      </c>
    </row>
    <row r="9" spans="1:21" x14ac:dyDescent="0.2">
      <c r="A9" s="43"/>
      <c r="B9" s="6">
        <v>4</v>
      </c>
      <c r="C9" s="7" t="s">
        <v>129</v>
      </c>
      <c r="D9" s="8">
        <v>13818.18</v>
      </c>
      <c r="E9" s="8">
        <v>5181.82</v>
      </c>
      <c r="F9" s="8"/>
      <c r="G9" s="8"/>
      <c r="H9" s="8">
        <v>1100</v>
      </c>
      <c r="I9" s="8"/>
      <c r="J9" s="9">
        <f t="shared" si="0"/>
        <v>20100</v>
      </c>
      <c r="K9" s="8">
        <v>3000</v>
      </c>
      <c r="L9" s="8"/>
      <c r="M9" s="8"/>
      <c r="N9" s="8">
        <v>86.36</v>
      </c>
      <c r="O9" s="9">
        <f t="shared" si="1"/>
        <v>3086.36</v>
      </c>
      <c r="P9" s="11">
        <f t="shared" si="2"/>
        <v>23186.36</v>
      </c>
      <c r="Q9" s="22">
        <f t="shared" si="3"/>
        <v>875</v>
      </c>
      <c r="R9" s="8"/>
      <c r="S9" s="8"/>
      <c r="T9" s="12">
        <f t="shared" si="4"/>
        <v>875</v>
      </c>
      <c r="U9" s="13">
        <f t="shared" si="5"/>
        <v>22311.360000000001</v>
      </c>
    </row>
    <row r="10" spans="1:21" x14ac:dyDescent="0.2">
      <c r="A10" s="43"/>
      <c r="B10" s="6">
        <v>5</v>
      </c>
      <c r="C10" s="7" t="s">
        <v>130</v>
      </c>
      <c r="D10" s="8">
        <v>11636.36</v>
      </c>
      <c r="E10" s="8">
        <v>4363.6400000000003</v>
      </c>
      <c r="F10" s="8"/>
      <c r="G10" s="8"/>
      <c r="H10" s="8">
        <v>1100</v>
      </c>
      <c r="I10" s="8"/>
      <c r="J10" s="9">
        <f t="shared" si="0"/>
        <v>17100</v>
      </c>
      <c r="K10" s="8">
        <v>2700</v>
      </c>
      <c r="L10" s="8"/>
      <c r="M10" s="8"/>
      <c r="N10" s="8"/>
      <c r="O10" s="9">
        <f t="shared" si="1"/>
        <v>2700</v>
      </c>
      <c r="P10" s="11">
        <f t="shared" si="2"/>
        <v>19800</v>
      </c>
      <c r="Q10" s="22">
        <f t="shared" si="3"/>
        <v>875</v>
      </c>
      <c r="R10" s="8">
        <v>318</v>
      </c>
      <c r="S10" s="8"/>
      <c r="T10" s="12">
        <f t="shared" si="4"/>
        <v>1193</v>
      </c>
      <c r="U10" s="13">
        <f t="shared" si="5"/>
        <v>18607</v>
      </c>
    </row>
    <row r="11" spans="1:21" x14ac:dyDescent="0.2">
      <c r="A11" s="43"/>
      <c r="B11" s="6">
        <v>7</v>
      </c>
      <c r="C11" s="7" t="s">
        <v>131</v>
      </c>
      <c r="D11" s="8">
        <v>11636.36</v>
      </c>
      <c r="E11" s="8">
        <v>4363.6400000000003</v>
      </c>
      <c r="F11" s="8"/>
      <c r="G11" s="8"/>
      <c r="H11" s="8">
        <v>1100</v>
      </c>
      <c r="I11" s="8"/>
      <c r="J11" s="9">
        <f t="shared" si="0"/>
        <v>17100</v>
      </c>
      <c r="K11" s="8">
        <f>2500-1066.66</f>
        <v>1433.34</v>
      </c>
      <c r="L11" s="8"/>
      <c r="M11" s="8"/>
      <c r="N11" s="8"/>
      <c r="O11" s="9">
        <f t="shared" ref="O11:O19" si="6">+SUM(K11:N11)</f>
        <v>1433.34</v>
      </c>
      <c r="P11" s="11">
        <f t="shared" ref="P11:P19" si="7">+J11+O11</f>
        <v>18533.34</v>
      </c>
      <c r="Q11" s="22">
        <f t="shared" si="3"/>
        <v>875</v>
      </c>
      <c r="R11" s="8"/>
      <c r="S11" s="8"/>
      <c r="T11" s="12">
        <f t="shared" ref="T11:T19" si="8">+SUM(Q11:S11)</f>
        <v>875</v>
      </c>
      <c r="U11" s="13">
        <f t="shared" ref="U11:U19" si="9">+P11-T11</f>
        <v>17658.34</v>
      </c>
    </row>
    <row r="12" spans="1:21" x14ac:dyDescent="0.2">
      <c r="A12" s="43"/>
      <c r="B12" s="6">
        <v>8</v>
      </c>
      <c r="C12" s="7" t="s">
        <v>120</v>
      </c>
      <c r="D12" s="8">
        <v>10909.09</v>
      </c>
      <c r="E12" s="8">
        <v>4090.91</v>
      </c>
      <c r="F12" s="8"/>
      <c r="G12" s="8"/>
      <c r="H12" s="8">
        <v>1100</v>
      </c>
      <c r="I12" s="8"/>
      <c r="J12" s="9">
        <f t="shared" si="0"/>
        <v>16100</v>
      </c>
      <c r="K12" s="8">
        <v>3000</v>
      </c>
      <c r="L12" s="8"/>
      <c r="M12" s="8">
        <v>500</v>
      </c>
      <c r="N12" s="8"/>
      <c r="O12" s="9">
        <f t="shared" si="6"/>
        <v>3500</v>
      </c>
      <c r="P12" s="11">
        <f t="shared" si="7"/>
        <v>19600</v>
      </c>
      <c r="Q12" s="22">
        <f t="shared" si="3"/>
        <v>875</v>
      </c>
      <c r="R12" s="8"/>
      <c r="S12" s="8"/>
      <c r="T12" s="12">
        <f t="shared" si="8"/>
        <v>875</v>
      </c>
      <c r="U12" s="13">
        <f t="shared" si="9"/>
        <v>18725</v>
      </c>
    </row>
    <row r="13" spans="1:21" x14ac:dyDescent="0.2">
      <c r="A13" s="43"/>
      <c r="B13" s="6">
        <v>9</v>
      </c>
      <c r="C13" s="7" t="s">
        <v>121</v>
      </c>
      <c r="D13" s="8">
        <v>10909.09</v>
      </c>
      <c r="E13" s="8">
        <v>4090.91</v>
      </c>
      <c r="F13" s="8"/>
      <c r="G13" s="8"/>
      <c r="H13" s="8">
        <v>1100</v>
      </c>
      <c r="I13" s="8"/>
      <c r="J13" s="9">
        <f t="shared" si="0"/>
        <v>16100</v>
      </c>
      <c r="K13" s="8">
        <f>1960-500</f>
        <v>1460</v>
      </c>
      <c r="L13" s="8"/>
      <c r="M13" s="8"/>
      <c r="N13" s="8"/>
      <c r="O13" s="9">
        <f t="shared" si="6"/>
        <v>1460</v>
      </c>
      <c r="P13" s="11">
        <f t="shared" si="7"/>
        <v>17560</v>
      </c>
      <c r="Q13" s="22">
        <f t="shared" si="3"/>
        <v>875</v>
      </c>
      <c r="R13" s="8"/>
      <c r="S13" s="8"/>
      <c r="T13" s="12">
        <f t="shared" si="8"/>
        <v>875</v>
      </c>
      <c r="U13" s="13">
        <f t="shared" si="9"/>
        <v>16685</v>
      </c>
    </row>
    <row r="14" spans="1:21" x14ac:dyDescent="0.2">
      <c r="A14" s="43"/>
      <c r="B14" s="6">
        <v>10</v>
      </c>
      <c r="C14" s="7" t="s">
        <v>132</v>
      </c>
      <c r="D14" s="8">
        <v>10909.09</v>
      </c>
      <c r="E14" s="8">
        <v>4090.91</v>
      </c>
      <c r="F14" s="8"/>
      <c r="G14" s="8"/>
      <c r="H14" s="8">
        <v>1100</v>
      </c>
      <c r="I14" s="8"/>
      <c r="J14" s="9">
        <f t="shared" si="0"/>
        <v>16100</v>
      </c>
      <c r="K14" s="8">
        <f>2800-1000</f>
        <v>1800</v>
      </c>
      <c r="L14" s="8"/>
      <c r="M14" s="8"/>
      <c r="N14" s="8"/>
      <c r="O14" s="9">
        <f t="shared" si="6"/>
        <v>1800</v>
      </c>
      <c r="P14" s="11">
        <f t="shared" si="7"/>
        <v>17900</v>
      </c>
      <c r="Q14" s="22">
        <f t="shared" si="3"/>
        <v>875</v>
      </c>
      <c r="R14" s="8"/>
      <c r="S14" s="8"/>
      <c r="T14" s="12">
        <f t="shared" si="8"/>
        <v>875</v>
      </c>
      <c r="U14" s="13">
        <f t="shared" si="9"/>
        <v>17025</v>
      </c>
    </row>
    <row r="15" spans="1:21" x14ac:dyDescent="0.2">
      <c r="A15" s="43"/>
      <c r="B15" s="6">
        <v>11</v>
      </c>
      <c r="C15" s="7" t="s">
        <v>133</v>
      </c>
      <c r="D15" s="8">
        <v>10909.09</v>
      </c>
      <c r="E15" s="8">
        <v>4090.91</v>
      </c>
      <c r="F15" s="8"/>
      <c r="G15" s="8"/>
      <c r="H15" s="8">
        <v>1100</v>
      </c>
      <c r="I15" s="8"/>
      <c r="J15" s="9">
        <f t="shared" si="0"/>
        <v>16100</v>
      </c>
      <c r="K15" s="8">
        <v>3000</v>
      </c>
      <c r="L15" s="8"/>
      <c r="M15" s="8">
        <v>500</v>
      </c>
      <c r="N15" s="8">
        <v>68.180000000000007</v>
      </c>
      <c r="O15" s="9">
        <f t="shared" si="6"/>
        <v>3568.18</v>
      </c>
      <c r="P15" s="11">
        <f t="shared" si="7"/>
        <v>19668.18</v>
      </c>
      <c r="Q15" s="22">
        <f t="shared" si="3"/>
        <v>875</v>
      </c>
      <c r="R15" s="8"/>
      <c r="S15" s="8"/>
      <c r="T15" s="12">
        <f t="shared" si="8"/>
        <v>875</v>
      </c>
      <c r="U15" s="13">
        <f t="shared" si="9"/>
        <v>18793.18</v>
      </c>
    </row>
    <row r="16" spans="1:21" x14ac:dyDescent="0.2">
      <c r="A16" s="43"/>
      <c r="B16" s="6">
        <v>12</v>
      </c>
      <c r="C16" s="7" t="s">
        <v>134</v>
      </c>
      <c r="D16" s="8">
        <v>10181.82</v>
      </c>
      <c r="E16" s="8">
        <v>3818.18</v>
      </c>
      <c r="F16" s="8"/>
      <c r="G16" s="8"/>
      <c r="H16" s="8">
        <v>1100</v>
      </c>
      <c r="I16" s="8"/>
      <c r="J16" s="9">
        <f t="shared" si="0"/>
        <v>15100</v>
      </c>
      <c r="K16" s="8">
        <v>2900</v>
      </c>
      <c r="L16" s="8"/>
      <c r="M16" s="8"/>
      <c r="N16" s="8">
        <v>63.64</v>
      </c>
      <c r="O16" s="9">
        <f t="shared" si="6"/>
        <v>2963.64</v>
      </c>
      <c r="P16" s="11">
        <f t="shared" si="7"/>
        <v>18063.64</v>
      </c>
      <c r="Q16" s="22">
        <f t="shared" si="3"/>
        <v>875</v>
      </c>
      <c r="R16" s="8"/>
      <c r="S16" s="8"/>
      <c r="T16" s="12">
        <f t="shared" si="8"/>
        <v>875</v>
      </c>
      <c r="U16" s="13">
        <f t="shared" si="9"/>
        <v>17188.64</v>
      </c>
    </row>
    <row r="17" spans="1:21" x14ac:dyDescent="0.2">
      <c r="A17" s="43"/>
      <c r="B17" s="6">
        <v>13</v>
      </c>
      <c r="C17" s="7" t="s">
        <v>135</v>
      </c>
      <c r="D17" s="8">
        <v>10909.09</v>
      </c>
      <c r="E17" s="8">
        <v>4090.91</v>
      </c>
      <c r="F17" s="8"/>
      <c r="G17" s="8"/>
      <c r="H17" s="8">
        <v>1100</v>
      </c>
      <c r="I17" s="8"/>
      <c r="J17" s="9">
        <f t="shared" si="0"/>
        <v>16100</v>
      </c>
      <c r="K17" s="8">
        <f>3000-1206.8</f>
        <v>1793.2</v>
      </c>
      <c r="L17" s="8"/>
      <c r="M17" s="8">
        <v>500</v>
      </c>
      <c r="N17" s="8"/>
      <c r="O17" s="9">
        <f t="shared" si="6"/>
        <v>2293.1999999999998</v>
      </c>
      <c r="P17" s="11">
        <f t="shared" si="7"/>
        <v>18393.2</v>
      </c>
      <c r="Q17" s="22">
        <f t="shared" si="3"/>
        <v>875</v>
      </c>
      <c r="R17" s="8"/>
      <c r="S17" s="8"/>
      <c r="T17" s="12">
        <f t="shared" si="8"/>
        <v>875</v>
      </c>
      <c r="U17" s="13">
        <f t="shared" si="9"/>
        <v>17518.2</v>
      </c>
    </row>
    <row r="18" spans="1:21" x14ac:dyDescent="0.2">
      <c r="A18" s="43"/>
      <c r="B18" s="6">
        <v>14</v>
      </c>
      <c r="C18" s="7" t="s">
        <v>105</v>
      </c>
      <c r="D18" s="8">
        <v>12000</v>
      </c>
      <c r="E18" s="8">
        <v>4500</v>
      </c>
      <c r="F18" s="8"/>
      <c r="G18" s="8"/>
      <c r="H18" s="8">
        <v>1100</v>
      </c>
      <c r="I18" s="8"/>
      <c r="J18" s="9">
        <f>+SUM(D18:I18)</f>
        <v>17600</v>
      </c>
      <c r="K18" s="8">
        <v>2400</v>
      </c>
      <c r="L18" s="8"/>
      <c r="M18" s="8"/>
      <c r="N18" s="8"/>
      <c r="O18" s="9">
        <f t="shared" si="6"/>
        <v>2400</v>
      </c>
      <c r="P18" s="11">
        <f t="shared" si="7"/>
        <v>20000</v>
      </c>
      <c r="Q18" s="22">
        <f t="shared" si="3"/>
        <v>875</v>
      </c>
      <c r="R18" s="8"/>
      <c r="S18" s="8"/>
      <c r="T18" s="12">
        <f>+SUM(Q18:S18)</f>
        <v>875</v>
      </c>
      <c r="U18" s="13">
        <f t="shared" si="9"/>
        <v>19125</v>
      </c>
    </row>
    <row r="19" spans="1:21" x14ac:dyDescent="0.2">
      <c r="A19" s="53"/>
      <c r="B19" s="6">
        <v>15</v>
      </c>
      <c r="C19" s="7" t="s">
        <v>136</v>
      </c>
      <c r="D19" s="8">
        <v>9454.5499999999993</v>
      </c>
      <c r="E19" s="8">
        <v>3545.45</v>
      </c>
      <c r="F19" s="8"/>
      <c r="G19" s="8"/>
      <c r="H19" s="8">
        <v>1100</v>
      </c>
      <c r="I19" s="8"/>
      <c r="J19" s="9">
        <f t="shared" si="0"/>
        <v>14100</v>
      </c>
      <c r="K19" s="8">
        <f>3000-885.78</f>
        <v>2114.2200000000003</v>
      </c>
      <c r="L19" s="8"/>
      <c r="M19" s="8">
        <v>500</v>
      </c>
      <c r="N19" s="8"/>
      <c r="O19" s="9">
        <f t="shared" si="6"/>
        <v>2614.2200000000003</v>
      </c>
      <c r="P19" s="11">
        <f t="shared" si="7"/>
        <v>16714.22</v>
      </c>
      <c r="Q19" s="22">
        <f t="shared" si="3"/>
        <v>811</v>
      </c>
      <c r="R19" s="8"/>
      <c r="S19" s="8"/>
      <c r="T19" s="12">
        <f t="shared" si="8"/>
        <v>811</v>
      </c>
      <c r="U19" s="13">
        <f t="shared" si="9"/>
        <v>15903.220000000001</v>
      </c>
    </row>
    <row r="20" spans="1:21" x14ac:dyDescent="0.2">
      <c r="A20" s="62" t="s">
        <v>37</v>
      </c>
      <c r="B20" s="62"/>
      <c r="C20" s="62"/>
      <c r="D20" s="25">
        <f t="shared" ref="D20:U20" si="10">+SUM(D7:D19)</f>
        <v>149090.89999999997</v>
      </c>
      <c r="E20" s="25">
        <f t="shared" si="10"/>
        <v>55909.099999999991</v>
      </c>
      <c r="F20" s="25">
        <f t="shared" si="10"/>
        <v>0</v>
      </c>
      <c r="G20" s="25">
        <f t="shared" si="10"/>
        <v>0</v>
      </c>
      <c r="H20" s="25">
        <f t="shared" si="10"/>
        <v>14500</v>
      </c>
      <c r="I20" s="25">
        <f t="shared" si="10"/>
        <v>0</v>
      </c>
      <c r="J20" s="25">
        <f t="shared" si="10"/>
        <v>219500</v>
      </c>
      <c r="K20" s="25">
        <f t="shared" si="10"/>
        <v>33042.86</v>
      </c>
      <c r="L20" s="25">
        <f t="shared" si="10"/>
        <v>0</v>
      </c>
      <c r="M20" s="25">
        <f t="shared" si="10"/>
        <v>2500</v>
      </c>
      <c r="N20" s="25">
        <f t="shared" si="10"/>
        <v>400</v>
      </c>
      <c r="O20" s="25">
        <f t="shared" si="10"/>
        <v>35942.86</v>
      </c>
      <c r="P20" s="25">
        <f t="shared" si="10"/>
        <v>255442.86000000002</v>
      </c>
      <c r="Q20" s="25">
        <f t="shared" si="10"/>
        <v>11311</v>
      </c>
      <c r="R20" s="25">
        <f t="shared" si="10"/>
        <v>318</v>
      </c>
      <c r="S20" s="25">
        <f t="shared" si="10"/>
        <v>0</v>
      </c>
      <c r="T20" s="25">
        <f t="shared" si="10"/>
        <v>11629</v>
      </c>
      <c r="U20" s="25">
        <f t="shared" si="10"/>
        <v>243813.86000000002</v>
      </c>
    </row>
    <row r="22" spans="1:21" x14ac:dyDescent="0.2">
      <c r="A22" s="42" t="s">
        <v>25</v>
      </c>
      <c r="B22" s="46" t="s">
        <v>5</v>
      </c>
      <c r="C22" s="46" t="s">
        <v>6</v>
      </c>
      <c r="D22" s="46" t="s">
        <v>21</v>
      </c>
      <c r="E22" s="46"/>
      <c r="F22" s="46"/>
      <c r="G22" s="46"/>
      <c r="H22" s="46"/>
      <c r="I22" s="46"/>
      <c r="J22" s="46" t="s">
        <v>11</v>
      </c>
      <c r="K22" s="46" t="s">
        <v>14</v>
      </c>
      <c r="L22" s="46"/>
      <c r="M22" s="46"/>
      <c r="N22" s="46"/>
      <c r="O22" s="47" t="s">
        <v>29</v>
      </c>
      <c r="P22" s="46" t="s">
        <v>18</v>
      </c>
      <c r="Q22" s="46" t="s">
        <v>26</v>
      </c>
      <c r="R22" s="46" t="s">
        <v>23</v>
      </c>
      <c r="S22" s="46" t="s">
        <v>40</v>
      </c>
    </row>
    <row r="23" spans="1:21" x14ac:dyDescent="0.2">
      <c r="A23" s="43"/>
      <c r="B23" s="46"/>
      <c r="C23" s="46"/>
      <c r="D23" s="17" t="s">
        <v>7</v>
      </c>
      <c r="E23" s="17" t="s">
        <v>8</v>
      </c>
      <c r="F23" s="17" t="s">
        <v>9</v>
      </c>
      <c r="G23" s="17" t="s">
        <v>10</v>
      </c>
      <c r="H23" s="17" t="s">
        <v>12</v>
      </c>
      <c r="I23" s="17" t="s">
        <v>13</v>
      </c>
      <c r="J23" s="46"/>
      <c r="K23" s="17" t="s">
        <v>15</v>
      </c>
      <c r="L23" s="17" t="s">
        <v>16</v>
      </c>
      <c r="M23" s="17"/>
      <c r="N23" s="17" t="s">
        <v>17</v>
      </c>
      <c r="O23" s="47"/>
      <c r="P23" s="46"/>
      <c r="Q23" s="46"/>
      <c r="R23" s="46"/>
      <c r="S23" s="46"/>
    </row>
    <row r="24" spans="1:21" x14ac:dyDescent="0.2">
      <c r="A24" s="43"/>
      <c r="B24" s="6">
        <v>1</v>
      </c>
      <c r="C24" s="7" t="s">
        <v>137</v>
      </c>
      <c r="D24" s="8"/>
      <c r="E24" s="8"/>
      <c r="F24" s="8"/>
      <c r="G24" s="8"/>
      <c r="H24" s="8"/>
      <c r="I24" s="8"/>
      <c r="J24" s="10">
        <f>+SUM(D24:I24)</f>
        <v>0</v>
      </c>
      <c r="K24" s="8">
        <v>5258.77</v>
      </c>
      <c r="L24" s="8"/>
      <c r="M24" s="8"/>
      <c r="N24" s="8"/>
      <c r="O24" s="10">
        <f>+SUM(K24:N24)</f>
        <v>5258.77</v>
      </c>
      <c r="P24" s="22">
        <f>+J24+O24</f>
        <v>5258.77</v>
      </c>
      <c r="Q24" s="18">
        <f>IF(P24 &lt; 1000, 0, P24 * 3%)</f>
        <v>157.76310000000001</v>
      </c>
      <c r="R24" s="13">
        <f>+P24-Q24</f>
        <v>5101.0069000000003</v>
      </c>
      <c r="S24" s="44">
        <v>244444</v>
      </c>
    </row>
    <row r="25" spans="1:21" x14ac:dyDescent="0.2">
      <c r="A25" s="43"/>
      <c r="B25" s="6">
        <v>2</v>
      </c>
      <c r="C25" s="7" t="s">
        <v>41</v>
      </c>
      <c r="D25" s="8"/>
      <c r="E25" s="8"/>
      <c r="F25" s="8"/>
      <c r="G25" s="8"/>
      <c r="H25" s="8"/>
      <c r="I25" s="8"/>
      <c r="J25" s="10">
        <f t="shared" ref="J25:J28" si="11">+SUM(D25:I25)</f>
        <v>0</v>
      </c>
      <c r="K25" s="8">
        <v>1051.75</v>
      </c>
      <c r="L25" s="8"/>
      <c r="M25" s="8"/>
      <c r="N25" s="8"/>
      <c r="O25" s="10">
        <f>+SUM(K25:N25)</f>
        <v>1051.75</v>
      </c>
      <c r="P25" s="22">
        <f>+J25+O25</f>
        <v>1051.75</v>
      </c>
      <c r="Q25" s="18">
        <f>IF(P25 &lt; 1000, 0, P25 * 3%)</f>
        <v>31.552499999999998</v>
      </c>
      <c r="R25" s="13">
        <f>+P25-Q25</f>
        <v>1020.1975</v>
      </c>
      <c r="S25" s="45"/>
    </row>
    <row r="26" spans="1:21" x14ac:dyDescent="0.2">
      <c r="A26" s="43"/>
      <c r="B26" s="6">
        <v>3</v>
      </c>
      <c r="C26" s="7" t="s">
        <v>122</v>
      </c>
      <c r="D26" s="8"/>
      <c r="E26" s="8"/>
      <c r="F26" s="8"/>
      <c r="G26" s="8"/>
      <c r="H26" s="8"/>
      <c r="I26" s="8"/>
      <c r="J26" s="10">
        <f t="shared" si="11"/>
        <v>0</v>
      </c>
      <c r="K26" s="8">
        <v>3000</v>
      </c>
      <c r="L26" s="8"/>
      <c r="M26" s="8"/>
      <c r="N26" s="8"/>
      <c r="O26" s="10">
        <f t="shared" ref="O26" si="12">+SUM(K26:N26)</f>
        <v>3000</v>
      </c>
      <c r="P26" s="22">
        <f t="shared" ref="P26" si="13">+J26+O26</f>
        <v>3000</v>
      </c>
      <c r="Q26" s="18">
        <f t="shared" ref="Q26" si="14">IF(P26 &lt; 1000, 0, P26 * 3%)</f>
        <v>90</v>
      </c>
      <c r="R26" s="13">
        <f t="shared" ref="R26" si="15">+P26-Q26</f>
        <v>2910</v>
      </c>
      <c r="S26" s="45"/>
    </row>
    <row r="27" spans="1:21" x14ac:dyDescent="0.2">
      <c r="A27" s="43"/>
      <c r="B27" s="6">
        <v>4</v>
      </c>
      <c r="C27" s="7" t="s">
        <v>158</v>
      </c>
      <c r="D27" s="8"/>
      <c r="E27" s="8"/>
      <c r="F27" s="8"/>
      <c r="G27" s="8"/>
      <c r="H27" s="8"/>
      <c r="I27" s="8"/>
      <c r="J27" s="10">
        <f t="shared" si="11"/>
        <v>0</v>
      </c>
      <c r="K27" s="8">
        <v>1200</v>
      </c>
      <c r="L27" s="8"/>
      <c r="M27" s="8"/>
      <c r="N27" s="8"/>
      <c r="O27" s="10">
        <f t="shared" ref="O27" si="16">+SUM(K27:N27)</f>
        <v>1200</v>
      </c>
      <c r="P27" s="22">
        <f t="shared" ref="P27" si="17">+J27+O27</f>
        <v>1200</v>
      </c>
      <c r="Q27" s="18">
        <f t="shared" ref="Q27" si="18">IF(P27 &lt; 1000, 0, P27 * 3%)</f>
        <v>36</v>
      </c>
      <c r="R27" s="13">
        <f t="shared" ref="R27" si="19">+P27-Q27</f>
        <v>1164</v>
      </c>
      <c r="S27" s="45"/>
    </row>
    <row r="28" spans="1:21" x14ac:dyDescent="0.2">
      <c r="A28" s="53"/>
      <c r="B28" s="6">
        <v>5</v>
      </c>
      <c r="C28" s="7" t="s">
        <v>123</v>
      </c>
      <c r="D28" s="8"/>
      <c r="E28" s="8"/>
      <c r="F28" s="8"/>
      <c r="G28" s="8"/>
      <c r="H28" s="8"/>
      <c r="I28" s="8"/>
      <c r="J28" s="10">
        <f t="shared" si="11"/>
        <v>0</v>
      </c>
      <c r="K28" s="8">
        <v>500</v>
      </c>
      <c r="L28" s="8"/>
      <c r="M28" s="8"/>
      <c r="N28" s="8"/>
      <c r="O28" s="10">
        <f t="shared" ref="O28" si="20">+SUM(K28:N28)</f>
        <v>500</v>
      </c>
      <c r="P28" s="22">
        <f t="shared" ref="P28" si="21">+J28+O28</f>
        <v>500</v>
      </c>
      <c r="Q28" s="18">
        <f t="shared" ref="Q28" si="22">IF(P28 &lt; 1000, 0, P28 * 3%)</f>
        <v>0</v>
      </c>
      <c r="R28" s="13">
        <f t="shared" ref="R28" si="23">+P28-Q28</f>
        <v>500</v>
      </c>
      <c r="S28" s="54"/>
    </row>
    <row r="29" spans="1:21" x14ac:dyDescent="0.2">
      <c r="A29" s="62" t="s">
        <v>39</v>
      </c>
      <c r="B29" s="62"/>
      <c r="C29" s="62"/>
      <c r="D29" s="26">
        <f t="shared" ref="D29:Q29" si="24">+SUM(D24:D28)</f>
        <v>0</v>
      </c>
      <c r="E29" s="26">
        <f t="shared" si="24"/>
        <v>0</v>
      </c>
      <c r="F29" s="26">
        <f t="shared" si="24"/>
        <v>0</v>
      </c>
      <c r="G29" s="26">
        <f t="shared" si="24"/>
        <v>0</v>
      </c>
      <c r="H29" s="26">
        <f t="shared" si="24"/>
        <v>0</v>
      </c>
      <c r="I29" s="26">
        <f t="shared" si="24"/>
        <v>0</v>
      </c>
      <c r="J29" s="26">
        <f t="shared" si="24"/>
        <v>0</v>
      </c>
      <c r="K29" s="26">
        <f t="shared" si="24"/>
        <v>11010.52</v>
      </c>
      <c r="L29" s="26">
        <f t="shared" si="24"/>
        <v>0</v>
      </c>
      <c r="M29" s="26">
        <f t="shared" si="24"/>
        <v>0</v>
      </c>
      <c r="N29" s="26">
        <f t="shared" si="24"/>
        <v>0</v>
      </c>
      <c r="O29" s="26">
        <f t="shared" si="24"/>
        <v>11010.52</v>
      </c>
      <c r="P29" s="26">
        <f t="shared" si="24"/>
        <v>11010.52</v>
      </c>
      <c r="Q29" s="26">
        <f t="shared" si="24"/>
        <v>315.31560000000002</v>
      </c>
      <c r="R29" s="26">
        <f>+SUM(R24:R28)</f>
        <v>10695.204400000001</v>
      </c>
      <c r="S29" s="26"/>
    </row>
  </sheetData>
  <mergeCells count="28">
    <mergeCell ref="A29:C29"/>
    <mergeCell ref="A5:A19"/>
    <mergeCell ref="K22:N22"/>
    <mergeCell ref="O22:O23"/>
    <mergeCell ref="P22:P23"/>
    <mergeCell ref="B22:B23"/>
    <mergeCell ref="C22:C23"/>
    <mergeCell ref="D22:I22"/>
    <mergeCell ref="J22:J23"/>
    <mergeCell ref="A22:A28"/>
    <mergeCell ref="T5:T6"/>
    <mergeCell ref="U5:U6"/>
    <mergeCell ref="A20:C20"/>
    <mergeCell ref="D5:I5"/>
    <mergeCell ref="J5:J6"/>
    <mergeCell ref="K5:N5"/>
    <mergeCell ref="O5:O6"/>
    <mergeCell ref="P5:P6"/>
    <mergeCell ref="Q5:S5"/>
    <mergeCell ref="S24:S28"/>
    <mergeCell ref="A1:B1"/>
    <mergeCell ref="A2:B2"/>
    <mergeCell ref="A3:B3"/>
    <mergeCell ref="B5:B6"/>
    <mergeCell ref="C5:C6"/>
    <mergeCell ref="Q22:Q23"/>
    <mergeCell ref="R22:R23"/>
    <mergeCell ref="S22:S2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21</xdr:col>
                    <xdr:colOff>209550</xdr:colOff>
                    <xdr:row>6</xdr:row>
                    <xdr:rowOff>19050</xdr:rowOff>
                  </from>
                  <to>
                    <xdr:col>21</xdr:col>
                    <xdr:colOff>638175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21</xdr:col>
                    <xdr:colOff>209550</xdr:colOff>
                    <xdr:row>6</xdr:row>
                    <xdr:rowOff>19050</xdr:rowOff>
                  </from>
                  <to>
                    <xdr:col>21</xdr:col>
                    <xdr:colOff>638175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>
                  <from>
                    <xdr:col>21</xdr:col>
                    <xdr:colOff>209550</xdr:colOff>
                    <xdr:row>7</xdr:row>
                    <xdr:rowOff>0</xdr:rowOff>
                  </from>
                  <to>
                    <xdr:col>21</xdr:col>
                    <xdr:colOff>638175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>
                  <from>
                    <xdr:col>21</xdr:col>
                    <xdr:colOff>209550</xdr:colOff>
                    <xdr:row>7</xdr:row>
                    <xdr:rowOff>0</xdr:rowOff>
                  </from>
                  <to>
                    <xdr:col>21</xdr:col>
                    <xdr:colOff>638175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8" name="Check Box 7">
              <controlPr defaultSize="0" autoFill="0" autoLine="0" autoPict="0">
                <anchor moveWithCells="1">
                  <from>
                    <xdr:col>21</xdr:col>
                    <xdr:colOff>209550</xdr:colOff>
                    <xdr:row>8</xdr:row>
                    <xdr:rowOff>19050</xdr:rowOff>
                  </from>
                  <to>
                    <xdr:col>21</xdr:col>
                    <xdr:colOff>638175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9" name="Check Box 8">
              <controlPr defaultSize="0" autoFill="0" autoLine="0" autoPict="0">
                <anchor moveWithCells="1">
                  <from>
                    <xdr:col>21</xdr:col>
                    <xdr:colOff>209550</xdr:colOff>
                    <xdr:row>8</xdr:row>
                    <xdr:rowOff>19050</xdr:rowOff>
                  </from>
                  <to>
                    <xdr:col>21</xdr:col>
                    <xdr:colOff>638175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0" name="Check Box 9">
              <controlPr defaultSize="0" autoFill="0" autoLine="0" autoPict="0">
                <anchor moveWithCells="1">
                  <from>
                    <xdr:col>21</xdr:col>
                    <xdr:colOff>209550</xdr:colOff>
                    <xdr:row>9</xdr:row>
                    <xdr:rowOff>19050</xdr:rowOff>
                  </from>
                  <to>
                    <xdr:col>21</xdr:col>
                    <xdr:colOff>638175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1" name="Check Box 10">
              <controlPr defaultSize="0" autoFill="0" autoLine="0" autoPict="0">
                <anchor moveWithCells="1">
                  <from>
                    <xdr:col>21</xdr:col>
                    <xdr:colOff>209550</xdr:colOff>
                    <xdr:row>9</xdr:row>
                    <xdr:rowOff>19050</xdr:rowOff>
                  </from>
                  <to>
                    <xdr:col>21</xdr:col>
                    <xdr:colOff>638175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2" name="Check Box 11">
              <controlPr defaultSize="0" autoFill="0" autoLine="0" autoPict="0">
                <anchor moveWithCells="1">
                  <from>
                    <xdr:col>21</xdr:col>
                    <xdr:colOff>209550</xdr:colOff>
                    <xdr:row>10</xdr:row>
                    <xdr:rowOff>0</xdr:rowOff>
                  </from>
                  <to>
                    <xdr:col>21</xdr:col>
                    <xdr:colOff>638175</xdr:colOff>
                    <xdr:row>10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3" name="Check Box 12">
              <controlPr defaultSize="0" autoFill="0" autoLine="0" autoPict="0">
                <anchor moveWithCells="1">
                  <from>
                    <xdr:col>21</xdr:col>
                    <xdr:colOff>209550</xdr:colOff>
                    <xdr:row>10</xdr:row>
                    <xdr:rowOff>0</xdr:rowOff>
                  </from>
                  <to>
                    <xdr:col>21</xdr:col>
                    <xdr:colOff>638175</xdr:colOff>
                    <xdr:row>10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4" name="Check Box 15">
              <controlPr defaultSize="0" autoFill="0" autoLine="0" autoPict="0">
                <anchor moveWithCells="1">
                  <from>
                    <xdr:col>21</xdr:col>
                    <xdr:colOff>209550</xdr:colOff>
                    <xdr:row>11</xdr:row>
                    <xdr:rowOff>19050</xdr:rowOff>
                  </from>
                  <to>
                    <xdr:col>21</xdr:col>
                    <xdr:colOff>638175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5" name="Check Box 16">
              <controlPr defaultSize="0" autoFill="0" autoLine="0" autoPict="0">
                <anchor moveWithCells="1">
                  <from>
                    <xdr:col>21</xdr:col>
                    <xdr:colOff>209550</xdr:colOff>
                    <xdr:row>11</xdr:row>
                    <xdr:rowOff>19050</xdr:rowOff>
                  </from>
                  <to>
                    <xdr:col>21</xdr:col>
                    <xdr:colOff>638175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16" name="Check Box 17">
              <controlPr defaultSize="0" autoFill="0" autoLine="0" autoPict="0">
                <anchor moveWithCells="1">
                  <from>
                    <xdr:col>21</xdr:col>
                    <xdr:colOff>209550</xdr:colOff>
                    <xdr:row>12</xdr:row>
                    <xdr:rowOff>19050</xdr:rowOff>
                  </from>
                  <to>
                    <xdr:col>21</xdr:col>
                    <xdr:colOff>638175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17" name="Check Box 18">
              <controlPr defaultSize="0" autoFill="0" autoLine="0" autoPict="0">
                <anchor moveWithCells="1">
                  <from>
                    <xdr:col>21</xdr:col>
                    <xdr:colOff>209550</xdr:colOff>
                    <xdr:row>12</xdr:row>
                    <xdr:rowOff>19050</xdr:rowOff>
                  </from>
                  <to>
                    <xdr:col>21</xdr:col>
                    <xdr:colOff>638175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18" name="Check Box 19">
              <controlPr defaultSize="0" autoFill="0" autoLine="0" autoPict="0">
                <anchor moveWithCells="1">
                  <from>
                    <xdr:col>21</xdr:col>
                    <xdr:colOff>209550</xdr:colOff>
                    <xdr:row>13</xdr:row>
                    <xdr:rowOff>19050</xdr:rowOff>
                  </from>
                  <to>
                    <xdr:col>21</xdr:col>
                    <xdr:colOff>638175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9" name="Check Box 20">
              <controlPr defaultSize="0" autoFill="0" autoLine="0" autoPict="0">
                <anchor moveWithCells="1">
                  <from>
                    <xdr:col>21</xdr:col>
                    <xdr:colOff>209550</xdr:colOff>
                    <xdr:row>13</xdr:row>
                    <xdr:rowOff>19050</xdr:rowOff>
                  </from>
                  <to>
                    <xdr:col>21</xdr:col>
                    <xdr:colOff>638175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0" name="Check Box 21">
              <controlPr defaultSize="0" autoFill="0" autoLine="0" autoPict="0">
                <anchor moveWithCells="1">
                  <from>
                    <xdr:col>21</xdr:col>
                    <xdr:colOff>209550</xdr:colOff>
                    <xdr:row>14</xdr:row>
                    <xdr:rowOff>19050</xdr:rowOff>
                  </from>
                  <to>
                    <xdr:col>21</xdr:col>
                    <xdr:colOff>638175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1" name="Check Box 22">
              <controlPr defaultSize="0" autoFill="0" autoLine="0" autoPict="0">
                <anchor moveWithCells="1">
                  <from>
                    <xdr:col>21</xdr:col>
                    <xdr:colOff>209550</xdr:colOff>
                    <xdr:row>14</xdr:row>
                    <xdr:rowOff>19050</xdr:rowOff>
                  </from>
                  <to>
                    <xdr:col>21</xdr:col>
                    <xdr:colOff>638175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2" name="Check Box 23">
              <controlPr defaultSize="0" autoFill="0" autoLine="0" autoPict="0">
                <anchor moveWithCells="1">
                  <from>
                    <xdr:col>21</xdr:col>
                    <xdr:colOff>209550</xdr:colOff>
                    <xdr:row>15</xdr:row>
                    <xdr:rowOff>19050</xdr:rowOff>
                  </from>
                  <to>
                    <xdr:col>21</xdr:col>
                    <xdr:colOff>638175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3" name="Check Box 24">
              <controlPr defaultSize="0" autoFill="0" autoLine="0" autoPict="0">
                <anchor moveWithCells="1">
                  <from>
                    <xdr:col>21</xdr:col>
                    <xdr:colOff>209550</xdr:colOff>
                    <xdr:row>15</xdr:row>
                    <xdr:rowOff>19050</xdr:rowOff>
                  </from>
                  <to>
                    <xdr:col>21</xdr:col>
                    <xdr:colOff>638175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4" name="Check Box 25">
              <controlPr defaultSize="0" autoFill="0" autoLine="0" autoPict="0">
                <anchor moveWithCells="1">
                  <from>
                    <xdr:col>21</xdr:col>
                    <xdr:colOff>209550</xdr:colOff>
                    <xdr:row>16</xdr:row>
                    <xdr:rowOff>19050</xdr:rowOff>
                  </from>
                  <to>
                    <xdr:col>21</xdr:col>
                    <xdr:colOff>638175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5" name="Check Box 26">
              <controlPr defaultSize="0" autoFill="0" autoLine="0" autoPict="0">
                <anchor moveWithCells="1">
                  <from>
                    <xdr:col>21</xdr:col>
                    <xdr:colOff>209550</xdr:colOff>
                    <xdr:row>16</xdr:row>
                    <xdr:rowOff>19050</xdr:rowOff>
                  </from>
                  <to>
                    <xdr:col>21</xdr:col>
                    <xdr:colOff>638175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26" name="Check Box 27">
              <controlPr defaultSize="0" autoFill="0" autoLine="0" autoPict="0">
                <anchor moveWithCells="1">
                  <from>
                    <xdr:col>21</xdr:col>
                    <xdr:colOff>209550</xdr:colOff>
                    <xdr:row>17</xdr:row>
                    <xdr:rowOff>19050</xdr:rowOff>
                  </from>
                  <to>
                    <xdr:col>21</xdr:col>
                    <xdr:colOff>638175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27" name="Check Box 28">
              <controlPr defaultSize="0" autoFill="0" autoLine="0" autoPict="0">
                <anchor moveWithCells="1">
                  <from>
                    <xdr:col>21</xdr:col>
                    <xdr:colOff>209550</xdr:colOff>
                    <xdr:row>17</xdr:row>
                    <xdr:rowOff>19050</xdr:rowOff>
                  </from>
                  <to>
                    <xdr:col>21</xdr:col>
                    <xdr:colOff>638175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28" name="Check Box 29">
              <controlPr defaultSize="0" autoFill="0" autoLine="0" autoPict="0">
                <anchor moveWithCells="1">
                  <from>
                    <xdr:col>21</xdr:col>
                    <xdr:colOff>209550</xdr:colOff>
                    <xdr:row>18</xdr:row>
                    <xdr:rowOff>19050</xdr:rowOff>
                  </from>
                  <to>
                    <xdr:col>21</xdr:col>
                    <xdr:colOff>638175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29" name="Check Box 30">
              <controlPr defaultSize="0" autoFill="0" autoLine="0" autoPict="0">
                <anchor moveWithCells="1">
                  <from>
                    <xdr:col>21</xdr:col>
                    <xdr:colOff>209550</xdr:colOff>
                    <xdr:row>18</xdr:row>
                    <xdr:rowOff>19050</xdr:rowOff>
                  </from>
                  <to>
                    <xdr:col>21</xdr:col>
                    <xdr:colOff>638175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0" name="Check Box 31">
              <controlPr defaultSize="0" autoFill="0" autoLine="0" autoPict="0">
                <anchor moveWithCells="1">
                  <from>
                    <xdr:col>19</xdr:col>
                    <xdr:colOff>209550</xdr:colOff>
                    <xdr:row>23</xdr:row>
                    <xdr:rowOff>19050</xdr:rowOff>
                  </from>
                  <to>
                    <xdr:col>19</xdr:col>
                    <xdr:colOff>638175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1" name="Check Box 32">
              <controlPr defaultSize="0" autoFill="0" autoLine="0" autoPict="0">
                <anchor moveWithCells="1">
                  <from>
                    <xdr:col>19</xdr:col>
                    <xdr:colOff>209550</xdr:colOff>
                    <xdr:row>23</xdr:row>
                    <xdr:rowOff>19050</xdr:rowOff>
                  </from>
                  <to>
                    <xdr:col>19</xdr:col>
                    <xdr:colOff>638175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2" name="Check Box 33">
              <controlPr defaultSize="0" autoFill="0" autoLine="0" autoPict="0">
                <anchor moveWithCells="1">
                  <from>
                    <xdr:col>19</xdr:col>
                    <xdr:colOff>209550</xdr:colOff>
                    <xdr:row>24</xdr:row>
                    <xdr:rowOff>19050</xdr:rowOff>
                  </from>
                  <to>
                    <xdr:col>19</xdr:col>
                    <xdr:colOff>638175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3" name="Check Box 34">
              <controlPr defaultSize="0" autoFill="0" autoLine="0" autoPict="0">
                <anchor moveWithCells="1">
                  <from>
                    <xdr:col>19</xdr:col>
                    <xdr:colOff>209550</xdr:colOff>
                    <xdr:row>24</xdr:row>
                    <xdr:rowOff>19050</xdr:rowOff>
                  </from>
                  <to>
                    <xdr:col>19</xdr:col>
                    <xdr:colOff>638175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4" name="Check Box 35">
              <controlPr defaultSize="0" autoFill="0" autoLine="0" autoPict="0">
                <anchor moveWithCells="1">
                  <from>
                    <xdr:col>19</xdr:col>
                    <xdr:colOff>209550</xdr:colOff>
                    <xdr:row>25</xdr:row>
                    <xdr:rowOff>19050</xdr:rowOff>
                  </from>
                  <to>
                    <xdr:col>19</xdr:col>
                    <xdr:colOff>638175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5" name="Check Box 36">
              <controlPr defaultSize="0" autoFill="0" autoLine="0" autoPict="0">
                <anchor moveWithCells="1">
                  <from>
                    <xdr:col>19</xdr:col>
                    <xdr:colOff>209550</xdr:colOff>
                    <xdr:row>25</xdr:row>
                    <xdr:rowOff>19050</xdr:rowOff>
                  </from>
                  <to>
                    <xdr:col>19</xdr:col>
                    <xdr:colOff>638175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36" name="Check Box 37">
              <controlPr defaultSize="0" autoFill="0" autoLine="0" autoPict="0">
                <anchor moveWithCells="1">
                  <from>
                    <xdr:col>19</xdr:col>
                    <xdr:colOff>209550</xdr:colOff>
                    <xdr:row>26</xdr:row>
                    <xdr:rowOff>19050</xdr:rowOff>
                  </from>
                  <to>
                    <xdr:col>19</xdr:col>
                    <xdr:colOff>638175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37" name="Check Box 38">
              <controlPr defaultSize="0" autoFill="0" autoLine="0" autoPict="0">
                <anchor moveWithCells="1">
                  <from>
                    <xdr:col>19</xdr:col>
                    <xdr:colOff>209550</xdr:colOff>
                    <xdr:row>26</xdr:row>
                    <xdr:rowOff>19050</xdr:rowOff>
                  </from>
                  <to>
                    <xdr:col>19</xdr:col>
                    <xdr:colOff>638175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38" name="Check Box 39">
              <controlPr defaultSize="0" autoFill="0" autoLine="0" autoPict="0">
                <anchor moveWithCells="1">
                  <from>
                    <xdr:col>19</xdr:col>
                    <xdr:colOff>209550</xdr:colOff>
                    <xdr:row>27</xdr:row>
                    <xdr:rowOff>19050</xdr:rowOff>
                  </from>
                  <to>
                    <xdr:col>19</xdr:col>
                    <xdr:colOff>638175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39" name="Check Box 40">
              <controlPr defaultSize="0" autoFill="0" autoLine="0" autoPict="0">
                <anchor moveWithCells="1">
                  <from>
                    <xdr:col>19</xdr:col>
                    <xdr:colOff>209550</xdr:colOff>
                    <xdr:row>27</xdr:row>
                    <xdr:rowOff>19050</xdr:rowOff>
                  </from>
                  <to>
                    <xdr:col>19</xdr:col>
                    <xdr:colOff>638175</xdr:colOff>
                    <xdr:row>27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A777-E93D-4581-9CB8-DF2797C19261}">
  <sheetPr codeName="Sheet9">
    <tabColor rgb="FFFFC000"/>
    <pageSetUpPr fitToPage="1"/>
  </sheetPr>
  <dimension ref="A1:U31"/>
  <sheetViews>
    <sheetView tabSelected="1" topLeftCell="A13" zoomScale="85" zoomScaleNormal="85" workbookViewId="0">
      <selection activeCell="X20" sqref="X20"/>
    </sheetView>
  </sheetViews>
  <sheetFormatPr defaultColWidth="9" defaultRowHeight="21" x14ac:dyDescent="0.2"/>
  <cols>
    <col min="1" max="1" width="17.375" style="2" bestFit="1" customWidth="1"/>
    <col min="2" max="2" width="6.375" style="2" customWidth="1"/>
    <col min="3" max="3" width="32.625" style="2" bestFit="1" customWidth="1"/>
    <col min="4" max="4" width="9.875" style="2" bestFit="1" customWidth="1"/>
    <col min="5" max="9" width="9.375" style="2" customWidth="1"/>
    <col min="10" max="10" width="10.625" style="2" bestFit="1" customWidth="1"/>
    <col min="11" max="14" width="9.375" style="2" customWidth="1"/>
    <col min="15" max="15" width="10.375" style="2" customWidth="1"/>
    <col min="16" max="16" width="10.625" style="2" bestFit="1" customWidth="1"/>
    <col min="17" max="18" width="9.375" style="2" customWidth="1"/>
    <col min="19" max="19" width="9.625" style="2" customWidth="1"/>
    <col min="20" max="20" width="9.375" style="2" customWidth="1"/>
    <col min="21" max="21" width="10.375" style="2" bestFit="1" customWidth="1"/>
    <col min="22" max="16384" width="9" style="2"/>
  </cols>
  <sheetData>
    <row r="1" spans="1:21" x14ac:dyDescent="0.2">
      <c r="A1" s="38" t="s">
        <v>0</v>
      </c>
      <c r="B1" s="38"/>
      <c r="C1" s="1" t="s">
        <v>73</v>
      </c>
    </row>
    <row r="2" spans="1:21" x14ac:dyDescent="0.2">
      <c r="A2" s="38" t="s">
        <v>2</v>
      </c>
      <c r="B2" s="38"/>
      <c r="C2" s="3">
        <f>+ARI!C2</f>
        <v>244444</v>
      </c>
    </row>
    <row r="3" spans="1:21" x14ac:dyDescent="0.2">
      <c r="A3" s="38" t="s">
        <v>3</v>
      </c>
      <c r="B3" s="38"/>
      <c r="C3" s="3">
        <f>+ARI!C3</f>
        <v>244469</v>
      </c>
    </row>
    <row r="5" spans="1:21" x14ac:dyDescent="0.2">
      <c r="A5" s="42" t="s">
        <v>4</v>
      </c>
      <c r="B5" s="39" t="s">
        <v>5</v>
      </c>
      <c r="C5" s="39" t="s">
        <v>6</v>
      </c>
      <c r="D5" s="39" t="s">
        <v>21</v>
      </c>
      <c r="E5" s="39"/>
      <c r="F5" s="39"/>
      <c r="G5" s="39"/>
      <c r="H5" s="39"/>
      <c r="I5" s="39"/>
      <c r="J5" s="39" t="s">
        <v>11</v>
      </c>
      <c r="K5" s="39" t="s">
        <v>14</v>
      </c>
      <c r="L5" s="39"/>
      <c r="M5" s="39"/>
      <c r="N5" s="39"/>
      <c r="O5" s="40" t="s">
        <v>29</v>
      </c>
      <c r="P5" s="39" t="s">
        <v>18</v>
      </c>
      <c r="Q5" s="39" t="s">
        <v>19</v>
      </c>
      <c r="R5" s="39"/>
      <c r="S5" s="39"/>
      <c r="T5" s="40" t="s">
        <v>22</v>
      </c>
      <c r="U5" s="39" t="s">
        <v>23</v>
      </c>
    </row>
    <row r="6" spans="1:21" x14ac:dyDescent="0.2">
      <c r="A6" s="43"/>
      <c r="B6" s="39"/>
      <c r="C6" s="39"/>
      <c r="D6" s="5" t="s">
        <v>7</v>
      </c>
      <c r="E6" s="5" t="s">
        <v>8</v>
      </c>
      <c r="F6" s="5" t="s">
        <v>9</v>
      </c>
      <c r="G6" s="5" t="s">
        <v>10</v>
      </c>
      <c r="H6" s="5" t="s">
        <v>12</v>
      </c>
      <c r="I6" s="5" t="s">
        <v>13</v>
      </c>
      <c r="J6" s="39"/>
      <c r="K6" s="5" t="s">
        <v>15</v>
      </c>
      <c r="L6" s="5" t="s">
        <v>16</v>
      </c>
      <c r="M6" s="5" t="s">
        <v>43</v>
      </c>
      <c r="N6" s="5" t="s">
        <v>17</v>
      </c>
      <c r="O6" s="40"/>
      <c r="P6" s="39"/>
      <c r="Q6" s="5" t="s">
        <v>30</v>
      </c>
      <c r="R6" s="5" t="s">
        <v>31</v>
      </c>
      <c r="S6" s="5" t="s">
        <v>20</v>
      </c>
      <c r="T6" s="40"/>
      <c r="U6" s="39"/>
    </row>
    <row r="7" spans="1:21" x14ac:dyDescent="0.2">
      <c r="A7" s="43"/>
      <c r="B7" s="6">
        <v>1</v>
      </c>
      <c r="C7" s="7" t="s">
        <v>107</v>
      </c>
      <c r="D7" s="8">
        <v>27636.36</v>
      </c>
      <c r="E7" s="8">
        <v>10363.64</v>
      </c>
      <c r="F7" s="8"/>
      <c r="G7" s="8"/>
      <c r="H7" s="8">
        <v>1300</v>
      </c>
      <c r="I7" s="8"/>
      <c r="J7" s="9">
        <f>+SUM(D7:I7)</f>
        <v>39300</v>
      </c>
      <c r="K7" s="8">
        <v>8701.5499999999993</v>
      </c>
      <c r="L7" s="8">
        <v>400</v>
      </c>
      <c r="M7" s="8"/>
      <c r="N7" s="8"/>
      <c r="O7" s="9">
        <f>+SUM(K7:N7)</f>
        <v>9101.5499999999993</v>
      </c>
      <c r="P7" s="11">
        <f>+J7+O7</f>
        <v>48401.55</v>
      </c>
      <c r="Q7" s="22">
        <f>ROUND(IF((J7+K7)&gt;17500, 875, (J7+K7)*5%), 0)</f>
        <v>875</v>
      </c>
      <c r="R7" s="8"/>
      <c r="S7" s="8">
        <v>420.83</v>
      </c>
      <c r="T7" s="12">
        <f>+SUM(Q7:S7)</f>
        <v>1295.83</v>
      </c>
      <c r="U7" s="13">
        <f>+P7-T7</f>
        <v>47105.72</v>
      </c>
    </row>
    <row r="8" spans="1:21" x14ac:dyDescent="0.2">
      <c r="A8" s="43"/>
      <c r="B8" s="6">
        <v>2</v>
      </c>
      <c r="C8" s="7" t="s">
        <v>108</v>
      </c>
      <c r="D8" s="8">
        <v>13818.18</v>
      </c>
      <c r="E8" s="8">
        <v>5181.82</v>
      </c>
      <c r="F8" s="8"/>
      <c r="G8" s="8"/>
      <c r="H8" s="8">
        <v>1100</v>
      </c>
      <c r="I8" s="8"/>
      <c r="J8" s="9">
        <f t="shared" ref="J8:J21" si="0">+SUM(D8:I8)</f>
        <v>20100</v>
      </c>
      <c r="K8" s="8">
        <v>3614.49</v>
      </c>
      <c r="L8" s="8">
        <v>425.99</v>
      </c>
      <c r="M8" s="8"/>
      <c r="N8" s="8">
        <v>431.82</v>
      </c>
      <c r="O8" s="9">
        <f t="shared" ref="O8:O10" si="1">+SUM(K8:N8)</f>
        <v>4472.2999999999993</v>
      </c>
      <c r="P8" s="11">
        <f t="shared" ref="P8:P10" si="2">+J8+O8</f>
        <v>24572.3</v>
      </c>
      <c r="Q8" s="22">
        <f t="shared" ref="Q8:Q21" si="3">ROUND(IF((J8+K8)&gt;17500, 875, (J8+K8)*5%), 0)</f>
        <v>875</v>
      </c>
      <c r="R8" s="8">
        <v>529</v>
      </c>
      <c r="S8" s="8"/>
      <c r="T8" s="12">
        <f t="shared" ref="T8:T10" si="4">+SUM(Q8:S8)</f>
        <v>1404</v>
      </c>
      <c r="U8" s="13">
        <f t="shared" ref="U8:U10" si="5">+P8-T8</f>
        <v>23168.3</v>
      </c>
    </row>
    <row r="9" spans="1:21" x14ac:dyDescent="0.2">
      <c r="A9" s="43"/>
      <c r="B9" s="6">
        <v>3</v>
      </c>
      <c r="C9" s="7" t="s">
        <v>109</v>
      </c>
      <c r="D9" s="8">
        <v>13818.18</v>
      </c>
      <c r="E9" s="8">
        <v>5181.82</v>
      </c>
      <c r="F9" s="8"/>
      <c r="G9" s="8"/>
      <c r="H9" s="8">
        <v>1100</v>
      </c>
      <c r="I9" s="8">
        <v>420</v>
      </c>
      <c r="J9" s="9">
        <f t="shared" si="0"/>
        <v>20520</v>
      </c>
      <c r="K9" s="8">
        <v>7309.3</v>
      </c>
      <c r="L9" s="8">
        <v>416.9</v>
      </c>
      <c r="M9" s="8"/>
      <c r="N9" s="8">
        <v>1122.73</v>
      </c>
      <c r="O9" s="9">
        <f t="shared" si="1"/>
        <v>8848.93</v>
      </c>
      <c r="P9" s="11">
        <f t="shared" si="2"/>
        <v>29368.93</v>
      </c>
      <c r="Q9" s="22">
        <f t="shared" si="3"/>
        <v>875</v>
      </c>
      <c r="R9" s="8"/>
      <c r="S9" s="8"/>
      <c r="T9" s="12">
        <f t="shared" si="4"/>
        <v>875</v>
      </c>
      <c r="U9" s="13">
        <f t="shared" si="5"/>
        <v>28493.93</v>
      </c>
    </row>
    <row r="10" spans="1:21" x14ac:dyDescent="0.2">
      <c r="A10" s="43"/>
      <c r="B10" s="6">
        <v>4</v>
      </c>
      <c r="C10" s="7" t="s">
        <v>110</v>
      </c>
      <c r="D10" s="8">
        <v>10181.82</v>
      </c>
      <c r="E10" s="8">
        <v>3818.18</v>
      </c>
      <c r="F10" s="8"/>
      <c r="G10" s="8"/>
      <c r="H10" s="8">
        <v>1100</v>
      </c>
      <c r="I10" s="8"/>
      <c r="J10" s="9">
        <f t="shared" si="0"/>
        <v>15100</v>
      </c>
      <c r="K10" s="8">
        <v>3012.07</v>
      </c>
      <c r="L10" s="8">
        <v>316.89999999999998</v>
      </c>
      <c r="M10" s="8"/>
      <c r="N10" s="8">
        <v>318.18</v>
      </c>
      <c r="O10" s="9">
        <f t="shared" si="1"/>
        <v>3647.15</v>
      </c>
      <c r="P10" s="11">
        <f t="shared" si="2"/>
        <v>18747.150000000001</v>
      </c>
      <c r="Q10" s="22">
        <f t="shared" si="3"/>
        <v>875</v>
      </c>
      <c r="R10" s="8"/>
      <c r="S10" s="8"/>
      <c r="T10" s="12">
        <f t="shared" si="4"/>
        <v>875</v>
      </c>
      <c r="U10" s="13">
        <f t="shared" si="5"/>
        <v>17872.150000000001</v>
      </c>
    </row>
    <row r="11" spans="1:21" x14ac:dyDescent="0.2">
      <c r="A11" s="43"/>
      <c r="B11" s="6">
        <v>5</v>
      </c>
      <c r="C11" s="7" t="s">
        <v>111</v>
      </c>
      <c r="D11" s="8">
        <v>13818.18</v>
      </c>
      <c r="E11" s="8">
        <v>5181.82</v>
      </c>
      <c r="F11" s="8"/>
      <c r="G11" s="8"/>
      <c r="H11" s="8">
        <v>1100</v>
      </c>
      <c r="I11" s="8">
        <v>420</v>
      </c>
      <c r="J11" s="9">
        <f t="shared" si="0"/>
        <v>20520</v>
      </c>
      <c r="K11" s="8">
        <v>3494.01</v>
      </c>
      <c r="L11" s="8">
        <v>417.66</v>
      </c>
      <c r="M11" s="8"/>
      <c r="N11" s="8">
        <v>518.17999999999995</v>
      </c>
      <c r="O11" s="9">
        <f t="shared" ref="O11:O19" si="6">+SUM(K11:N11)</f>
        <v>4429.8500000000004</v>
      </c>
      <c r="P11" s="11">
        <f t="shared" ref="P11:P19" si="7">+J11+O11</f>
        <v>24949.85</v>
      </c>
      <c r="Q11" s="22">
        <f t="shared" si="3"/>
        <v>875</v>
      </c>
      <c r="R11" s="8"/>
      <c r="S11" s="8"/>
      <c r="T11" s="12">
        <f t="shared" ref="T11:T19" si="8">+SUM(Q11:S11)</f>
        <v>875</v>
      </c>
      <c r="U11" s="13">
        <f t="shared" ref="U11:U19" si="9">+P11-T11</f>
        <v>24074.85</v>
      </c>
    </row>
    <row r="12" spans="1:21" x14ac:dyDescent="0.2">
      <c r="A12" s="43"/>
      <c r="B12" s="6">
        <v>6</v>
      </c>
      <c r="C12" s="7" t="s">
        <v>112</v>
      </c>
      <c r="D12" s="8">
        <v>12363.64</v>
      </c>
      <c r="E12" s="8">
        <v>4636.3599999999997</v>
      </c>
      <c r="F12" s="8"/>
      <c r="G12" s="8"/>
      <c r="H12" s="8">
        <v>1100</v>
      </c>
      <c r="I12" s="8"/>
      <c r="J12" s="9">
        <f t="shared" si="0"/>
        <v>18100</v>
      </c>
      <c r="K12" s="8">
        <v>3373.52</v>
      </c>
      <c r="L12" s="8">
        <v>417.66</v>
      </c>
      <c r="M12" s="8"/>
      <c r="N12" s="8">
        <v>386.36</v>
      </c>
      <c r="O12" s="9">
        <f t="shared" si="6"/>
        <v>4177.54</v>
      </c>
      <c r="P12" s="11">
        <f t="shared" si="7"/>
        <v>22277.54</v>
      </c>
      <c r="Q12" s="22">
        <f t="shared" si="3"/>
        <v>875</v>
      </c>
      <c r="R12" s="8"/>
      <c r="S12" s="8"/>
      <c r="T12" s="12">
        <f t="shared" si="8"/>
        <v>875</v>
      </c>
      <c r="U12" s="13">
        <f t="shared" si="9"/>
        <v>21402.54</v>
      </c>
    </row>
    <row r="13" spans="1:21" x14ac:dyDescent="0.2">
      <c r="A13" s="43"/>
      <c r="B13" s="6">
        <v>9</v>
      </c>
      <c r="C13" s="7" t="s">
        <v>115</v>
      </c>
      <c r="D13" s="8">
        <v>12363.64</v>
      </c>
      <c r="E13" s="8">
        <v>4636.3599999999997</v>
      </c>
      <c r="F13" s="8"/>
      <c r="G13" s="8">
        <v>2000</v>
      </c>
      <c r="H13" s="8">
        <v>1100</v>
      </c>
      <c r="I13" s="8"/>
      <c r="J13" s="9">
        <f t="shared" si="0"/>
        <v>20100</v>
      </c>
      <c r="K13" s="8">
        <v>4016.1</v>
      </c>
      <c r="L13" s="8">
        <v>425.99</v>
      </c>
      <c r="M13" s="8">
        <v>500</v>
      </c>
      <c r="N13" s="8">
        <v>540.91</v>
      </c>
      <c r="O13" s="9">
        <f t="shared" si="6"/>
        <v>5483</v>
      </c>
      <c r="P13" s="11">
        <f t="shared" si="7"/>
        <v>25583</v>
      </c>
      <c r="Q13" s="22">
        <f t="shared" si="3"/>
        <v>875</v>
      </c>
      <c r="R13" s="8"/>
      <c r="S13" s="8"/>
      <c r="T13" s="12">
        <f t="shared" si="8"/>
        <v>875</v>
      </c>
      <c r="U13" s="13">
        <f t="shared" si="9"/>
        <v>24708</v>
      </c>
    </row>
    <row r="14" spans="1:21" x14ac:dyDescent="0.2">
      <c r="A14" s="43"/>
      <c r="B14" s="6">
        <v>10</v>
      </c>
      <c r="C14" s="7" t="s">
        <v>116</v>
      </c>
      <c r="D14" s="8">
        <f>5818.18*2</f>
        <v>11636.36</v>
      </c>
      <c r="E14" s="8">
        <f>2181.82*2</f>
        <v>4363.6400000000003</v>
      </c>
      <c r="F14" s="8"/>
      <c r="G14" s="8"/>
      <c r="H14" s="8">
        <v>1100</v>
      </c>
      <c r="I14" s="8">
        <v>480</v>
      </c>
      <c r="J14" s="9">
        <f t="shared" si="0"/>
        <v>17580</v>
      </c>
      <c r="K14" s="8">
        <v>1472.57</v>
      </c>
      <c r="L14" s="8">
        <v>425.99</v>
      </c>
      <c r="M14" s="8"/>
      <c r="N14" s="8">
        <v>654.54999999999995</v>
      </c>
      <c r="O14" s="9">
        <f t="shared" si="6"/>
        <v>2553.1099999999997</v>
      </c>
      <c r="P14" s="11">
        <f t="shared" si="7"/>
        <v>20133.11</v>
      </c>
      <c r="Q14" s="22">
        <f t="shared" si="3"/>
        <v>875</v>
      </c>
      <c r="R14" s="8"/>
      <c r="S14" s="8"/>
      <c r="T14" s="12">
        <f t="shared" si="8"/>
        <v>875</v>
      </c>
      <c r="U14" s="13">
        <f t="shared" si="9"/>
        <v>19258.11</v>
      </c>
    </row>
    <row r="15" spans="1:21" x14ac:dyDescent="0.2">
      <c r="A15" s="43"/>
      <c r="B15" s="6">
        <v>11</v>
      </c>
      <c r="C15" s="7" t="s">
        <v>117</v>
      </c>
      <c r="D15" s="8">
        <v>13818.18</v>
      </c>
      <c r="E15" s="8">
        <v>5181.82</v>
      </c>
      <c r="F15" s="8"/>
      <c r="G15" s="8"/>
      <c r="H15" s="8">
        <v>1100</v>
      </c>
      <c r="I15" s="8">
        <v>460</v>
      </c>
      <c r="J15" s="9">
        <f t="shared" si="0"/>
        <v>20560</v>
      </c>
      <c r="K15" s="8">
        <v>2168.69</v>
      </c>
      <c r="L15" s="8">
        <v>425.99</v>
      </c>
      <c r="M15" s="8"/>
      <c r="N15" s="8">
        <v>604.54999999999995</v>
      </c>
      <c r="O15" s="9">
        <f t="shared" si="6"/>
        <v>3199.2300000000005</v>
      </c>
      <c r="P15" s="11">
        <f t="shared" si="7"/>
        <v>23759.23</v>
      </c>
      <c r="Q15" s="22">
        <f t="shared" si="3"/>
        <v>875</v>
      </c>
      <c r="R15" s="8"/>
      <c r="S15" s="8"/>
      <c r="T15" s="12">
        <f t="shared" si="8"/>
        <v>875</v>
      </c>
      <c r="U15" s="13">
        <f t="shared" si="9"/>
        <v>22884.23</v>
      </c>
    </row>
    <row r="16" spans="1:21" x14ac:dyDescent="0.2">
      <c r="A16" s="43"/>
      <c r="B16" s="6">
        <v>12</v>
      </c>
      <c r="C16" s="7" t="s">
        <v>119</v>
      </c>
      <c r="D16" s="8">
        <v>11636.36</v>
      </c>
      <c r="E16" s="8">
        <v>4363.6400000000003</v>
      </c>
      <c r="F16" s="8"/>
      <c r="G16" s="8"/>
      <c r="H16" s="8">
        <v>1100</v>
      </c>
      <c r="I16" s="8">
        <v>420</v>
      </c>
      <c r="J16" s="9">
        <f t="shared" si="0"/>
        <v>17520</v>
      </c>
      <c r="K16" s="8">
        <v>0</v>
      </c>
      <c r="L16" s="8">
        <v>325.99</v>
      </c>
      <c r="M16" s="8"/>
      <c r="N16" s="8">
        <v>436.36</v>
      </c>
      <c r="O16" s="9">
        <f t="shared" ref="O16:O18" si="10">+SUM(K16:N16)</f>
        <v>762.35</v>
      </c>
      <c r="P16" s="11">
        <f t="shared" ref="P16:P18" si="11">+J16+O16</f>
        <v>18282.349999999999</v>
      </c>
      <c r="Q16" s="22">
        <f t="shared" si="3"/>
        <v>875</v>
      </c>
      <c r="R16" s="8"/>
      <c r="S16" s="8"/>
      <c r="T16" s="12">
        <f t="shared" ref="T16:T18" si="12">+SUM(Q16:S16)</f>
        <v>875</v>
      </c>
      <c r="U16" s="13">
        <f t="shared" ref="U16:U18" si="13">+P16-T16</f>
        <v>17407.349999999999</v>
      </c>
    </row>
    <row r="17" spans="1:21" x14ac:dyDescent="0.2">
      <c r="A17" s="43"/>
      <c r="B17" s="6">
        <v>16</v>
      </c>
      <c r="C17" s="7" t="s">
        <v>126</v>
      </c>
      <c r="D17" s="8">
        <f>11636.36</f>
        <v>11636.36</v>
      </c>
      <c r="E17" s="8">
        <f>4363.64</f>
        <v>4363.6400000000003</v>
      </c>
      <c r="F17" s="8"/>
      <c r="G17" s="8">
        <f>2000</f>
        <v>2000</v>
      </c>
      <c r="H17" s="8">
        <f>1100</f>
        <v>1100</v>
      </c>
      <c r="I17" s="37">
        <v>2500</v>
      </c>
      <c r="J17" s="9">
        <f t="shared" ref="J17:J18" si="14">+SUM(D17:I17)</f>
        <v>21600</v>
      </c>
      <c r="K17" s="8">
        <v>2141.92</v>
      </c>
      <c r="L17" s="8">
        <v>8.33</v>
      </c>
      <c r="M17" s="8"/>
      <c r="N17" s="8"/>
      <c r="O17" s="10">
        <f t="shared" si="10"/>
        <v>2150.25</v>
      </c>
      <c r="P17" s="11">
        <f t="shared" si="11"/>
        <v>23750.25</v>
      </c>
      <c r="Q17" s="22">
        <f t="shared" si="3"/>
        <v>875</v>
      </c>
      <c r="R17" s="8"/>
      <c r="S17" s="8"/>
      <c r="T17" s="12">
        <f t="shared" si="12"/>
        <v>875</v>
      </c>
      <c r="U17" s="13">
        <f t="shared" si="13"/>
        <v>22875.25</v>
      </c>
    </row>
    <row r="18" spans="1:21" x14ac:dyDescent="0.2">
      <c r="A18" s="43"/>
      <c r="B18" s="6">
        <v>17</v>
      </c>
      <c r="C18" s="7" t="s">
        <v>123</v>
      </c>
      <c r="D18" s="8">
        <v>10909.09</v>
      </c>
      <c r="E18" s="8">
        <v>4090.91</v>
      </c>
      <c r="F18" s="8"/>
      <c r="G18" s="8"/>
      <c r="H18" s="8">
        <v>1100</v>
      </c>
      <c r="I18" s="37">
        <f>3000+400</f>
        <v>3400</v>
      </c>
      <c r="J18" s="9">
        <f t="shared" si="14"/>
        <v>19500</v>
      </c>
      <c r="K18" s="8">
        <v>3346.75</v>
      </c>
      <c r="L18" s="8">
        <v>325.99</v>
      </c>
      <c r="M18" s="8"/>
      <c r="N18" s="8">
        <v>409.09</v>
      </c>
      <c r="O18" s="9">
        <f t="shared" si="10"/>
        <v>4081.83</v>
      </c>
      <c r="P18" s="11">
        <f t="shared" si="11"/>
        <v>23581.83</v>
      </c>
      <c r="Q18" s="22">
        <f t="shared" si="3"/>
        <v>875</v>
      </c>
      <c r="R18" s="8"/>
      <c r="S18" s="8"/>
      <c r="T18" s="12">
        <f t="shared" si="12"/>
        <v>875</v>
      </c>
      <c r="U18" s="13">
        <f t="shared" si="13"/>
        <v>22706.83</v>
      </c>
    </row>
    <row r="19" spans="1:21" x14ac:dyDescent="0.2">
      <c r="A19" s="43"/>
      <c r="B19" s="6">
        <v>13</v>
      </c>
      <c r="C19" s="7" t="s">
        <v>118</v>
      </c>
      <c r="D19" s="8">
        <v>11636.36</v>
      </c>
      <c r="E19" s="8">
        <v>4363.6400000000003</v>
      </c>
      <c r="F19" s="8"/>
      <c r="G19" s="8"/>
      <c r="H19" s="8">
        <v>1100</v>
      </c>
      <c r="I19" s="37">
        <v>1000</v>
      </c>
      <c r="J19" s="9">
        <f t="shared" si="0"/>
        <v>18100</v>
      </c>
      <c r="K19" s="8">
        <f>3882.23-1153.04</f>
        <v>2729.19</v>
      </c>
      <c r="L19" s="8">
        <v>425.99</v>
      </c>
      <c r="M19" s="8"/>
      <c r="N19" s="8">
        <v>340.91</v>
      </c>
      <c r="O19" s="9">
        <f t="shared" si="6"/>
        <v>3496.09</v>
      </c>
      <c r="P19" s="11">
        <f t="shared" si="7"/>
        <v>21596.09</v>
      </c>
      <c r="Q19" s="22">
        <f t="shared" si="3"/>
        <v>875</v>
      </c>
      <c r="R19" s="8"/>
      <c r="S19" s="8"/>
      <c r="T19" s="12">
        <f t="shared" si="8"/>
        <v>875</v>
      </c>
      <c r="U19" s="13">
        <f t="shared" si="9"/>
        <v>20721.09</v>
      </c>
    </row>
    <row r="20" spans="1:21" x14ac:dyDescent="0.2">
      <c r="A20" s="43"/>
      <c r="B20" s="6">
        <v>14</v>
      </c>
      <c r="C20" s="7" t="s">
        <v>124</v>
      </c>
      <c r="D20" s="8">
        <v>9454.5499999999993</v>
      </c>
      <c r="E20" s="8">
        <v>3545.45</v>
      </c>
      <c r="F20" s="8"/>
      <c r="G20" s="8"/>
      <c r="H20" s="8">
        <v>1100</v>
      </c>
      <c r="I20" s="8">
        <v>440</v>
      </c>
      <c r="J20" s="9">
        <f t="shared" si="0"/>
        <v>14540</v>
      </c>
      <c r="K20" s="8">
        <v>3882.23</v>
      </c>
      <c r="L20" s="8">
        <v>425.99</v>
      </c>
      <c r="M20" s="8"/>
      <c r="N20" s="8">
        <v>354.55</v>
      </c>
      <c r="O20" s="9">
        <f t="shared" ref="O20:O21" si="15">+SUM(K20:N20)</f>
        <v>4662.7700000000004</v>
      </c>
      <c r="P20" s="11">
        <f t="shared" ref="P20:P21" si="16">+J20+O20</f>
        <v>19202.77</v>
      </c>
      <c r="Q20" s="22">
        <f t="shared" si="3"/>
        <v>875</v>
      </c>
      <c r="R20" s="8"/>
      <c r="S20" s="8"/>
      <c r="T20" s="12">
        <f t="shared" ref="T20:T21" si="17">+SUM(Q20:S20)</f>
        <v>875</v>
      </c>
      <c r="U20" s="13">
        <f t="shared" ref="U20:U21" si="18">+P20-T20</f>
        <v>18327.77</v>
      </c>
    </row>
    <row r="21" spans="1:21" x14ac:dyDescent="0.2">
      <c r="A21" s="43"/>
      <c r="B21" s="6">
        <v>15</v>
      </c>
      <c r="C21" s="7" t="s">
        <v>125</v>
      </c>
      <c r="D21" s="8">
        <v>9454.5499999999993</v>
      </c>
      <c r="E21" s="8">
        <v>3545.45</v>
      </c>
      <c r="F21" s="8"/>
      <c r="G21" s="8"/>
      <c r="H21" s="8">
        <v>1100</v>
      </c>
      <c r="I21" s="8">
        <v>460</v>
      </c>
      <c r="J21" s="9">
        <f t="shared" si="0"/>
        <v>14560</v>
      </c>
      <c r="K21" s="8">
        <v>4016.1</v>
      </c>
      <c r="L21" s="8">
        <v>416.9</v>
      </c>
      <c r="M21" s="8">
        <v>500</v>
      </c>
      <c r="N21" s="8">
        <v>413.64</v>
      </c>
      <c r="O21" s="10">
        <f t="shared" si="15"/>
        <v>5346.64</v>
      </c>
      <c r="P21" s="11">
        <f t="shared" si="16"/>
        <v>19906.64</v>
      </c>
      <c r="Q21" s="22">
        <f t="shared" si="3"/>
        <v>875</v>
      </c>
      <c r="R21" s="8"/>
      <c r="S21" s="8"/>
      <c r="T21" s="12">
        <f t="shared" si="17"/>
        <v>875</v>
      </c>
      <c r="U21" s="13">
        <f t="shared" si="18"/>
        <v>19031.64</v>
      </c>
    </row>
    <row r="22" spans="1:21" x14ac:dyDescent="0.2">
      <c r="A22" s="41" t="s">
        <v>37</v>
      </c>
      <c r="B22" s="41"/>
      <c r="C22" s="41"/>
      <c r="D22" s="14">
        <f t="shared" ref="D22:U22" si="19">+SUM(D7:D21)</f>
        <v>194181.81</v>
      </c>
      <c r="E22" s="14">
        <f t="shared" si="19"/>
        <v>72818.189999999988</v>
      </c>
      <c r="F22" s="14">
        <f t="shared" si="19"/>
        <v>0</v>
      </c>
      <c r="G22" s="14">
        <f t="shared" si="19"/>
        <v>4000</v>
      </c>
      <c r="H22" s="14">
        <f t="shared" si="19"/>
        <v>16700</v>
      </c>
      <c r="I22" s="14">
        <f t="shared" si="19"/>
        <v>10000</v>
      </c>
      <c r="J22" s="14">
        <f t="shared" si="19"/>
        <v>297700</v>
      </c>
      <c r="K22" s="14">
        <f t="shared" si="19"/>
        <v>53278.490000000005</v>
      </c>
      <c r="L22" s="14">
        <f t="shared" si="19"/>
        <v>5602.2699999999986</v>
      </c>
      <c r="M22" s="14">
        <f t="shared" si="19"/>
        <v>1000</v>
      </c>
      <c r="N22" s="14">
        <f t="shared" si="19"/>
        <v>6531.83</v>
      </c>
      <c r="O22" s="14">
        <f t="shared" si="19"/>
        <v>66412.590000000011</v>
      </c>
      <c r="P22" s="14">
        <f t="shared" si="19"/>
        <v>364112.59000000008</v>
      </c>
      <c r="Q22" s="14">
        <f t="shared" si="19"/>
        <v>13125</v>
      </c>
      <c r="R22" s="14">
        <f t="shared" si="19"/>
        <v>529</v>
      </c>
      <c r="S22" s="14">
        <f t="shared" si="19"/>
        <v>420.83</v>
      </c>
      <c r="T22" s="14">
        <f t="shared" si="19"/>
        <v>14074.83</v>
      </c>
      <c r="U22" s="14">
        <f t="shared" si="19"/>
        <v>350037.76000000013</v>
      </c>
    </row>
    <row r="24" spans="1:21" x14ac:dyDescent="0.2">
      <c r="A24" s="42" t="s">
        <v>25</v>
      </c>
      <c r="B24" s="46" t="s">
        <v>5</v>
      </c>
      <c r="C24" s="46" t="s">
        <v>6</v>
      </c>
      <c r="D24" s="46" t="s">
        <v>21</v>
      </c>
      <c r="E24" s="46"/>
      <c r="F24" s="46"/>
      <c r="G24" s="46"/>
      <c r="H24" s="46"/>
      <c r="I24" s="46"/>
      <c r="J24" s="46" t="s">
        <v>11</v>
      </c>
      <c r="K24" s="46" t="s">
        <v>14</v>
      </c>
      <c r="L24" s="46"/>
      <c r="M24" s="46"/>
      <c r="N24" s="46"/>
      <c r="O24" s="47" t="s">
        <v>29</v>
      </c>
      <c r="P24" s="46" t="s">
        <v>18</v>
      </c>
      <c r="Q24" s="46" t="s">
        <v>26</v>
      </c>
      <c r="R24" s="46" t="s">
        <v>23</v>
      </c>
      <c r="S24" s="46" t="s">
        <v>40</v>
      </c>
    </row>
    <row r="25" spans="1:21" x14ac:dyDescent="0.2">
      <c r="A25" s="43"/>
      <c r="B25" s="46"/>
      <c r="C25" s="46"/>
      <c r="D25" s="17" t="s">
        <v>7</v>
      </c>
      <c r="E25" s="17" t="s">
        <v>8</v>
      </c>
      <c r="F25" s="17" t="s">
        <v>9</v>
      </c>
      <c r="G25" s="17" t="s">
        <v>10</v>
      </c>
      <c r="H25" s="17" t="s">
        <v>12</v>
      </c>
      <c r="I25" s="17" t="s">
        <v>13</v>
      </c>
      <c r="J25" s="46"/>
      <c r="K25" s="17" t="s">
        <v>15</v>
      </c>
      <c r="L25" s="17" t="s">
        <v>16</v>
      </c>
      <c r="M25" s="17"/>
      <c r="N25" s="17" t="s">
        <v>17</v>
      </c>
      <c r="O25" s="47"/>
      <c r="P25" s="46"/>
      <c r="Q25" s="46"/>
      <c r="R25" s="46"/>
      <c r="S25" s="46"/>
    </row>
    <row r="26" spans="1:21" x14ac:dyDescent="0.2">
      <c r="A26" s="43"/>
      <c r="B26" s="70">
        <v>1</v>
      </c>
      <c r="C26" s="71" t="s">
        <v>150</v>
      </c>
      <c r="D26" s="33">
        <v>30000</v>
      </c>
      <c r="E26" s="70"/>
      <c r="F26" s="70"/>
      <c r="G26" s="70"/>
      <c r="H26" s="70"/>
      <c r="I26" s="70"/>
      <c r="J26" s="10">
        <f>+SUM(D26:I26)</f>
        <v>30000</v>
      </c>
      <c r="K26" s="70"/>
      <c r="L26" s="70"/>
      <c r="M26" s="70"/>
      <c r="N26" s="70"/>
      <c r="O26" s="10">
        <f>+SUM(K26:N26)</f>
        <v>0</v>
      </c>
      <c r="P26" s="22">
        <f>+J26+O26</f>
        <v>30000</v>
      </c>
      <c r="Q26" s="18">
        <f>IF(P26 &lt; 1000, 0, P26 * 3%)</f>
        <v>900</v>
      </c>
      <c r="R26" s="13">
        <f>+P26-Q26</f>
        <v>29100</v>
      </c>
      <c r="S26" s="72">
        <v>244443</v>
      </c>
    </row>
    <row r="27" spans="1:21" x14ac:dyDescent="0.2">
      <c r="A27" s="43"/>
      <c r="B27" s="6">
        <v>2</v>
      </c>
      <c r="C27" s="7" t="s">
        <v>41</v>
      </c>
      <c r="D27" s="8"/>
      <c r="E27" s="8"/>
      <c r="F27" s="8"/>
      <c r="G27" s="8"/>
      <c r="H27" s="8"/>
      <c r="I27" s="8"/>
      <c r="J27" s="10">
        <f>+SUM(D27:I27)</f>
        <v>0</v>
      </c>
      <c r="K27" s="8">
        <v>1740.31</v>
      </c>
      <c r="L27" s="8"/>
      <c r="M27" s="8"/>
      <c r="N27" s="8"/>
      <c r="O27" s="10">
        <f>+SUM(K27:N27)</f>
        <v>1740.31</v>
      </c>
      <c r="P27" s="22">
        <f>+J27+O27</f>
        <v>1740.31</v>
      </c>
      <c r="Q27" s="18">
        <f>IF(P27 &lt; 1000, 0, P27 * 3%)</f>
        <v>52.209299999999999</v>
      </c>
      <c r="R27" s="13">
        <f>+P27-Q27</f>
        <v>1688.1007</v>
      </c>
      <c r="S27" s="44">
        <v>244444</v>
      </c>
    </row>
    <row r="28" spans="1:21" x14ac:dyDescent="0.2">
      <c r="A28" s="43"/>
      <c r="B28" s="6">
        <v>3</v>
      </c>
      <c r="C28" s="7" t="s">
        <v>113</v>
      </c>
      <c r="D28" s="8"/>
      <c r="E28" s="8"/>
      <c r="F28" s="8"/>
      <c r="G28" s="8"/>
      <c r="H28" s="8"/>
      <c r="I28" s="8"/>
      <c r="J28" s="10">
        <f t="shared" ref="J28:J30" si="20">+SUM(D28:I28)</f>
        <v>0</v>
      </c>
      <c r="K28" s="8">
        <v>803.22</v>
      </c>
      <c r="L28" s="8">
        <v>217.66</v>
      </c>
      <c r="M28" s="8"/>
      <c r="N28" s="8">
        <v>231.82</v>
      </c>
      <c r="O28" s="10">
        <f>+SUM(K28:N28)</f>
        <v>1252.7</v>
      </c>
      <c r="P28" s="22">
        <f>+J28+O28</f>
        <v>1252.7</v>
      </c>
      <c r="Q28" s="18">
        <f t="shared" ref="Q28:Q30" si="21">IF(P28 &lt; 1000, 0, P28 * 3%)</f>
        <v>37.581000000000003</v>
      </c>
      <c r="R28" s="13">
        <f t="shared" ref="R28:R29" si="22">+P28-Q28</f>
        <v>1215.1190000000001</v>
      </c>
      <c r="S28" s="45"/>
    </row>
    <row r="29" spans="1:21" x14ac:dyDescent="0.2">
      <c r="A29" s="43"/>
      <c r="B29" s="6">
        <v>4</v>
      </c>
      <c r="C29" s="7" t="s">
        <v>114</v>
      </c>
      <c r="D29" s="8"/>
      <c r="E29" s="8"/>
      <c r="F29" s="8"/>
      <c r="G29" s="8"/>
      <c r="H29" s="8"/>
      <c r="I29" s="8"/>
      <c r="J29" s="10">
        <f t="shared" si="20"/>
        <v>0</v>
      </c>
      <c r="K29" s="8">
        <v>267.74</v>
      </c>
      <c r="L29" s="8"/>
      <c r="M29" s="8"/>
      <c r="N29" s="8"/>
      <c r="O29" s="10">
        <f t="shared" ref="O29" si="23">+SUM(K29:N29)</f>
        <v>267.74</v>
      </c>
      <c r="P29" s="22">
        <f t="shared" ref="P29" si="24">+J29+O29</f>
        <v>267.74</v>
      </c>
      <c r="Q29" s="18">
        <f t="shared" si="21"/>
        <v>0</v>
      </c>
      <c r="R29" s="13">
        <f t="shared" si="22"/>
        <v>267.74</v>
      </c>
      <c r="S29" s="45"/>
    </row>
    <row r="30" spans="1:21" x14ac:dyDescent="0.2">
      <c r="A30" s="43"/>
      <c r="B30" s="6">
        <v>5</v>
      </c>
      <c r="C30" s="7" t="s">
        <v>130</v>
      </c>
      <c r="D30" s="8"/>
      <c r="E30" s="8"/>
      <c r="F30" s="8"/>
      <c r="G30" s="8"/>
      <c r="H30" s="8"/>
      <c r="I30" s="8"/>
      <c r="J30" s="10">
        <f t="shared" si="20"/>
        <v>0</v>
      </c>
      <c r="K30" s="8">
        <v>133.87</v>
      </c>
      <c r="L30" s="8"/>
      <c r="M30" s="8"/>
      <c r="N30" s="8"/>
      <c r="O30" s="10">
        <f t="shared" ref="O30" si="25">+SUM(K30:N30)</f>
        <v>133.87</v>
      </c>
      <c r="P30" s="22">
        <f t="shared" ref="P30" si="26">+J30+O30</f>
        <v>133.87</v>
      </c>
      <c r="Q30" s="18">
        <f t="shared" si="21"/>
        <v>0</v>
      </c>
      <c r="R30" s="13">
        <f t="shared" ref="R30" si="27">+P30-Q30</f>
        <v>133.87</v>
      </c>
      <c r="S30" s="45"/>
    </row>
    <row r="31" spans="1:21" x14ac:dyDescent="0.2">
      <c r="A31" s="41" t="s">
        <v>39</v>
      </c>
      <c r="B31" s="41"/>
      <c r="C31" s="41"/>
      <c r="D31" s="15">
        <f t="shared" ref="D31:R31" si="28">+SUM(D27:D30)</f>
        <v>0</v>
      </c>
      <c r="E31" s="15">
        <f t="shared" si="28"/>
        <v>0</v>
      </c>
      <c r="F31" s="15">
        <f t="shared" si="28"/>
        <v>0</v>
      </c>
      <c r="G31" s="15">
        <f t="shared" si="28"/>
        <v>0</v>
      </c>
      <c r="H31" s="15">
        <f t="shared" si="28"/>
        <v>0</v>
      </c>
      <c r="I31" s="15">
        <f t="shared" si="28"/>
        <v>0</v>
      </c>
      <c r="J31" s="15">
        <f t="shared" si="28"/>
        <v>0</v>
      </c>
      <c r="K31" s="15">
        <f t="shared" si="28"/>
        <v>2945.1399999999994</v>
      </c>
      <c r="L31" s="15">
        <f t="shared" si="28"/>
        <v>217.66</v>
      </c>
      <c r="M31" s="15">
        <f t="shared" si="28"/>
        <v>0</v>
      </c>
      <c r="N31" s="15">
        <f t="shared" si="28"/>
        <v>231.82</v>
      </c>
      <c r="O31" s="15">
        <f t="shared" si="28"/>
        <v>3394.62</v>
      </c>
      <c r="P31" s="15">
        <f t="shared" si="28"/>
        <v>3394.62</v>
      </c>
      <c r="Q31" s="15">
        <f t="shared" si="28"/>
        <v>89.790300000000002</v>
      </c>
      <c r="R31" s="15">
        <f t="shared" si="28"/>
        <v>3304.8297000000002</v>
      </c>
      <c r="S31" s="15"/>
    </row>
  </sheetData>
  <mergeCells count="28">
    <mergeCell ref="A31:C31"/>
    <mergeCell ref="A24:A30"/>
    <mergeCell ref="S27:S30"/>
    <mergeCell ref="A5:A21"/>
    <mergeCell ref="K24:N24"/>
    <mergeCell ref="O24:O25"/>
    <mergeCell ref="P24:P25"/>
    <mergeCell ref="Q24:Q25"/>
    <mergeCell ref="R24:R25"/>
    <mergeCell ref="S24:S25"/>
    <mergeCell ref="B24:B25"/>
    <mergeCell ref="C24:C25"/>
    <mergeCell ref="D24:I24"/>
    <mergeCell ref="J24:J25"/>
    <mergeCell ref="T5:T6"/>
    <mergeCell ref="U5:U6"/>
    <mergeCell ref="A22:C22"/>
    <mergeCell ref="D5:I5"/>
    <mergeCell ref="J5:J6"/>
    <mergeCell ref="K5:N5"/>
    <mergeCell ref="O5:O6"/>
    <mergeCell ref="P5:P6"/>
    <mergeCell ref="Q5:S5"/>
    <mergeCell ref="A1:B1"/>
    <mergeCell ref="A2:B2"/>
    <mergeCell ref="A3:B3"/>
    <mergeCell ref="B5:B6"/>
    <mergeCell ref="C5:C6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21</xdr:col>
                    <xdr:colOff>209550</xdr:colOff>
                    <xdr:row>6</xdr:row>
                    <xdr:rowOff>19050</xdr:rowOff>
                  </from>
                  <to>
                    <xdr:col>21</xdr:col>
                    <xdr:colOff>638175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21</xdr:col>
                    <xdr:colOff>209550</xdr:colOff>
                    <xdr:row>6</xdr:row>
                    <xdr:rowOff>19050</xdr:rowOff>
                  </from>
                  <to>
                    <xdr:col>21</xdr:col>
                    <xdr:colOff>638175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21</xdr:col>
                    <xdr:colOff>209550</xdr:colOff>
                    <xdr:row>7</xdr:row>
                    <xdr:rowOff>19050</xdr:rowOff>
                  </from>
                  <to>
                    <xdr:col>21</xdr:col>
                    <xdr:colOff>638175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21</xdr:col>
                    <xdr:colOff>209550</xdr:colOff>
                    <xdr:row>7</xdr:row>
                    <xdr:rowOff>19050</xdr:rowOff>
                  </from>
                  <to>
                    <xdr:col>21</xdr:col>
                    <xdr:colOff>638175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21</xdr:col>
                    <xdr:colOff>209550</xdr:colOff>
                    <xdr:row>8</xdr:row>
                    <xdr:rowOff>19050</xdr:rowOff>
                  </from>
                  <to>
                    <xdr:col>21</xdr:col>
                    <xdr:colOff>638175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21</xdr:col>
                    <xdr:colOff>209550</xdr:colOff>
                    <xdr:row>8</xdr:row>
                    <xdr:rowOff>19050</xdr:rowOff>
                  </from>
                  <to>
                    <xdr:col>21</xdr:col>
                    <xdr:colOff>638175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21</xdr:col>
                    <xdr:colOff>209550</xdr:colOff>
                    <xdr:row>9</xdr:row>
                    <xdr:rowOff>19050</xdr:rowOff>
                  </from>
                  <to>
                    <xdr:col>21</xdr:col>
                    <xdr:colOff>638175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21</xdr:col>
                    <xdr:colOff>209550</xdr:colOff>
                    <xdr:row>9</xdr:row>
                    <xdr:rowOff>19050</xdr:rowOff>
                  </from>
                  <to>
                    <xdr:col>21</xdr:col>
                    <xdr:colOff>638175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21</xdr:col>
                    <xdr:colOff>209550</xdr:colOff>
                    <xdr:row>10</xdr:row>
                    <xdr:rowOff>19050</xdr:rowOff>
                  </from>
                  <to>
                    <xdr:col>21</xdr:col>
                    <xdr:colOff>638175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21</xdr:col>
                    <xdr:colOff>209550</xdr:colOff>
                    <xdr:row>10</xdr:row>
                    <xdr:rowOff>19050</xdr:rowOff>
                  </from>
                  <to>
                    <xdr:col>21</xdr:col>
                    <xdr:colOff>638175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21</xdr:col>
                    <xdr:colOff>209550</xdr:colOff>
                    <xdr:row>11</xdr:row>
                    <xdr:rowOff>19050</xdr:rowOff>
                  </from>
                  <to>
                    <xdr:col>21</xdr:col>
                    <xdr:colOff>638175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21</xdr:col>
                    <xdr:colOff>209550</xdr:colOff>
                    <xdr:row>11</xdr:row>
                    <xdr:rowOff>19050</xdr:rowOff>
                  </from>
                  <to>
                    <xdr:col>21</xdr:col>
                    <xdr:colOff>638175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>
                  <from>
                    <xdr:col>21</xdr:col>
                    <xdr:colOff>209550</xdr:colOff>
                    <xdr:row>12</xdr:row>
                    <xdr:rowOff>0</xdr:rowOff>
                  </from>
                  <to>
                    <xdr:col>21</xdr:col>
                    <xdr:colOff>638175</xdr:colOff>
                    <xdr:row>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>
                  <from>
                    <xdr:col>21</xdr:col>
                    <xdr:colOff>209550</xdr:colOff>
                    <xdr:row>12</xdr:row>
                    <xdr:rowOff>0</xdr:rowOff>
                  </from>
                  <to>
                    <xdr:col>21</xdr:col>
                    <xdr:colOff>638175</xdr:colOff>
                    <xdr:row>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18" name="Check Box 19">
              <controlPr defaultSize="0" autoFill="0" autoLine="0" autoPict="0">
                <anchor moveWithCells="1">
                  <from>
                    <xdr:col>21</xdr:col>
                    <xdr:colOff>209550</xdr:colOff>
                    <xdr:row>13</xdr:row>
                    <xdr:rowOff>19050</xdr:rowOff>
                  </from>
                  <to>
                    <xdr:col>21</xdr:col>
                    <xdr:colOff>638175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19" name="Check Box 20">
              <controlPr defaultSize="0" autoFill="0" autoLine="0" autoPict="0">
                <anchor moveWithCells="1">
                  <from>
                    <xdr:col>21</xdr:col>
                    <xdr:colOff>209550</xdr:colOff>
                    <xdr:row>13</xdr:row>
                    <xdr:rowOff>19050</xdr:rowOff>
                  </from>
                  <to>
                    <xdr:col>21</xdr:col>
                    <xdr:colOff>638175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0" name="Check Box 21">
              <controlPr defaultSize="0" autoFill="0" autoLine="0" autoPict="0">
                <anchor moveWithCells="1">
                  <from>
                    <xdr:col>21</xdr:col>
                    <xdr:colOff>209550</xdr:colOff>
                    <xdr:row>14</xdr:row>
                    <xdr:rowOff>19050</xdr:rowOff>
                  </from>
                  <to>
                    <xdr:col>21</xdr:col>
                    <xdr:colOff>638175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1" name="Check Box 22">
              <controlPr defaultSize="0" autoFill="0" autoLine="0" autoPict="0">
                <anchor moveWithCells="1">
                  <from>
                    <xdr:col>21</xdr:col>
                    <xdr:colOff>209550</xdr:colOff>
                    <xdr:row>14</xdr:row>
                    <xdr:rowOff>19050</xdr:rowOff>
                  </from>
                  <to>
                    <xdr:col>21</xdr:col>
                    <xdr:colOff>638175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2" name="Check Box 23">
              <controlPr defaultSize="0" autoFill="0" autoLine="0" autoPict="0">
                <anchor moveWithCells="1">
                  <from>
                    <xdr:col>21</xdr:col>
                    <xdr:colOff>209550</xdr:colOff>
                    <xdr:row>15</xdr:row>
                    <xdr:rowOff>19050</xdr:rowOff>
                  </from>
                  <to>
                    <xdr:col>21</xdr:col>
                    <xdr:colOff>638175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3" name="Check Box 24">
              <controlPr defaultSize="0" autoFill="0" autoLine="0" autoPict="0">
                <anchor moveWithCells="1">
                  <from>
                    <xdr:col>21</xdr:col>
                    <xdr:colOff>209550</xdr:colOff>
                    <xdr:row>15</xdr:row>
                    <xdr:rowOff>19050</xdr:rowOff>
                  </from>
                  <to>
                    <xdr:col>21</xdr:col>
                    <xdr:colOff>638175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4" name="Check Box 25">
              <controlPr defaultSize="0" autoFill="0" autoLine="0" autoPict="0">
                <anchor moveWithCells="1">
                  <from>
                    <xdr:col>21</xdr:col>
                    <xdr:colOff>209550</xdr:colOff>
                    <xdr:row>18</xdr:row>
                    <xdr:rowOff>19050</xdr:rowOff>
                  </from>
                  <to>
                    <xdr:col>21</xdr:col>
                    <xdr:colOff>638175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5" name="Check Box 26">
              <controlPr defaultSize="0" autoFill="0" autoLine="0" autoPict="0">
                <anchor moveWithCells="1">
                  <from>
                    <xdr:col>21</xdr:col>
                    <xdr:colOff>209550</xdr:colOff>
                    <xdr:row>18</xdr:row>
                    <xdr:rowOff>19050</xdr:rowOff>
                  </from>
                  <to>
                    <xdr:col>21</xdr:col>
                    <xdr:colOff>638175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26" name="Check Box 27">
              <controlPr defaultSize="0" autoFill="0" autoLine="0" autoPict="0">
                <anchor moveWithCells="1">
                  <from>
                    <xdr:col>21</xdr:col>
                    <xdr:colOff>209550</xdr:colOff>
                    <xdr:row>19</xdr:row>
                    <xdr:rowOff>19050</xdr:rowOff>
                  </from>
                  <to>
                    <xdr:col>21</xdr:col>
                    <xdr:colOff>638175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27" name="Check Box 28">
              <controlPr defaultSize="0" autoFill="0" autoLine="0" autoPict="0">
                <anchor moveWithCells="1">
                  <from>
                    <xdr:col>21</xdr:col>
                    <xdr:colOff>209550</xdr:colOff>
                    <xdr:row>19</xdr:row>
                    <xdr:rowOff>19050</xdr:rowOff>
                  </from>
                  <to>
                    <xdr:col>21</xdr:col>
                    <xdr:colOff>638175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28" name="Check Box 29">
              <controlPr defaultSize="0" autoFill="0" autoLine="0" autoPict="0">
                <anchor moveWithCells="1">
                  <from>
                    <xdr:col>21</xdr:col>
                    <xdr:colOff>209550</xdr:colOff>
                    <xdr:row>20</xdr:row>
                    <xdr:rowOff>19050</xdr:rowOff>
                  </from>
                  <to>
                    <xdr:col>21</xdr:col>
                    <xdr:colOff>638175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29" name="Check Box 30">
              <controlPr defaultSize="0" autoFill="0" autoLine="0" autoPict="0">
                <anchor moveWithCells="1">
                  <from>
                    <xdr:col>21</xdr:col>
                    <xdr:colOff>209550</xdr:colOff>
                    <xdr:row>20</xdr:row>
                    <xdr:rowOff>19050</xdr:rowOff>
                  </from>
                  <to>
                    <xdr:col>21</xdr:col>
                    <xdr:colOff>638175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0" name="Check Box 35">
              <controlPr defaultSize="0" autoFill="0" autoLine="0" autoPict="0">
                <anchor moveWithCells="1">
                  <from>
                    <xdr:col>19</xdr:col>
                    <xdr:colOff>209550</xdr:colOff>
                    <xdr:row>26</xdr:row>
                    <xdr:rowOff>19050</xdr:rowOff>
                  </from>
                  <to>
                    <xdr:col>19</xdr:col>
                    <xdr:colOff>638175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1" name="Check Box 36">
              <controlPr defaultSize="0" autoFill="0" autoLine="0" autoPict="0">
                <anchor moveWithCells="1">
                  <from>
                    <xdr:col>19</xdr:col>
                    <xdr:colOff>209550</xdr:colOff>
                    <xdr:row>26</xdr:row>
                    <xdr:rowOff>19050</xdr:rowOff>
                  </from>
                  <to>
                    <xdr:col>19</xdr:col>
                    <xdr:colOff>638175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32" name="Check Box 37">
              <controlPr defaultSize="0" autoFill="0" autoLine="0" autoPict="0">
                <anchor moveWithCells="1">
                  <from>
                    <xdr:col>19</xdr:col>
                    <xdr:colOff>209550</xdr:colOff>
                    <xdr:row>27</xdr:row>
                    <xdr:rowOff>19050</xdr:rowOff>
                  </from>
                  <to>
                    <xdr:col>19</xdr:col>
                    <xdr:colOff>638175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33" name="Check Box 38">
              <controlPr defaultSize="0" autoFill="0" autoLine="0" autoPict="0">
                <anchor moveWithCells="1">
                  <from>
                    <xdr:col>19</xdr:col>
                    <xdr:colOff>209550</xdr:colOff>
                    <xdr:row>27</xdr:row>
                    <xdr:rowOff>19050</xdr:rowOff>
                  </from>
                  <to>
                    <xdr:col>19</xdr:col>
                    <xdr:colOff>638175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34" name="Check Box 39">
              <controlPr defaultSize="0" autoFill="0" autoLine="0" autoPict="0">
                <anchor moveWithCells="1">
                  <from>
                    <xdr:col>19</xdr:col>
                    <xdr:colOff>209550</xdr:colOff>
                    <xdr:row>28</xdr:row>
                    <xdr:rowOff>19050</xdr:rowOff>
                  </from>
                  <to>
                    <xdr:col>19</xdr:col>
                    <xdr:colOff>638175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35" name="Check Box 40">
              <controlPr defaultSize="0" autoFill="0" autoLine="0" autoPict="0">
                <anchor moveWithCells="1">
                  <from>
                    <xdr:col>19</xdr:col>
                    <xdr:colOff>209550</xdr:colOff>
                    <xdr:row>28</xdr:row>
                    <xdr:rowOff>19050</xdr:rowOff>
                  </from>
                  <to>
                    <xdr:col>19</xdr:col>
                    <xdr:colOff>638175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36" name="Check Box 41">
              <controlPr defaultSize="0" autoFill="0" autoLine="0" autoPict="0">
                <anchor moveWithCells="1">
                  <from>
                    <xdr:col>19</xdr:col>
                    <xdr:colOff>209550</xdr:colOff>
                    <xdr:row>29</xdr:row>
                    <xdr:rowOff>19050</xdr:rowOff>
                  </from>
                  <to>
                    <xdr:col>19</xdr:col>
                    <xdr:colOff>638175</xdr:colOff>
                    <xdr:row>29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37" name="Check Box 42">
              <controlPr defaultSize="0" autoFill="0" autoLine="0" autoPict="0">
                <anchor moveWithCells="1">
                  <from>
                    <xdr:col>19</xdr:col>
                    <xdr:colOff>209550</xdr:colOff>
                    <xdr:row>29</xdr:row>
                    <xdr:rowOff>19050</xdr:rowOff>
                  </from>
                  <to>
                    <xdr:col>19</xdr:col>
                    <xdr:colOff>638175</xdr:colOff>
                    <xdr:row>29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38" name="Check Box 43">
              <controlPr defaultSize="0" autoFill="0" autoLine="0" autoPict="0">
                <anchor moveWithCells="1">
                  <from>
                    <xdr:col>19</xdr:col>
                    <xdr:colOff>209550</xdr:colOff>
                    <xdr:row>30</xdr:row>
                    <xdr:rowOff>0</xdr:rowOff>
                  </from>
                  <to>
                    <xdr:col>19</xdr:col>
                    <xdr:colOff>638175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39" name="Check Box 44">
              <controlPr defaultSize="0" autoFill="0" autoLine="0" autoPict="0">
                <anchor moveWithCells="1">
                  <from>
                    <xdr:col>19</xdr:col>
                    <xdr:colOff>209550</xdr:colOff>
                    <xdr:row>30</xdr:row>
                    <xdr:rowOff>0</xdr:rowOff>
                  </from>
                  <to>
                    <xdr:col>19</xdr:col>
                    <xdr:colOff>638175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0" name="Check Box 45">
              <controlPr defaultSize="0" autoFill="0" autoLine="0" autoPict="0">
                <anchor moveWithCells="1">
                  <from>
                    <xdr:col>19</xdr:col>
                    <xdr:colOff>209550</xdr:colOff>
                    <xdr:row>30</xdr:row>
                    <xdr:rowOff>0</xdr:rowOff>
                  </from>
                  <to>
                    <xdr:col>19</xdr:col>
                    <xdr:colOff>638175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1" name="Check Box 46">
              <controlPr defaultSize="0" autoFill="0" autoLine="0" autoPict="0">
                <anchor moveWithCells="1">
                  <from>
                    <xdr:col>19</xdr:col>
                    <xdr:colOff>209550</xdr:colOff>
                    <xdr:row>30</xdr:row>
                    <xdr:rowOff>0</xdr:rowOff>
                  </from>
                  <to>
                    <xdr:col>19</xdr:col>
                    <xdr:colOff>638175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7" r:id="rId42" name="Check Box 51">
              <controlPr defaultSize="0" autoFill="0" autoLine="0" autoPict="0">
                <anchor moveWithCells="1">
                  <from>
                    <xdr:col>21</xdr:col>
                    <xdr:colOff>209550</xdr:colOff>
                    <xdr:row>16</xdr:row>
                    <xdr:rowOff>19050</xdr:rowOff>
                  </from>
                  <to>
                    <xdr:col>21</xdr:col>
                    <xdr:colOff>638175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8" r:id="rId43" name="Check Box 52">
              <controlPr defaultSize="0" autoFill="0" autoLine="0" autoPict="0">
                <anchor moveWithCells="1">
                  <from>
                    <xdr:col>21</xdr:col>
                    <xdr:colOff>209550</xdr:colOff>
                    <xdr:row>16</xdr:row>
                    <xdr:rowOff>19050</xdr:rowOff>
                  </from>
                  <to>
                    <xdr:col>21</xdr:col>
                    <xdr:colOff>638175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9" r:id="rId44" name="Check Box 53">
              <controlPr defaultSize="0" autoFill="0" autoLine="0" autoPict="0">
                <anchor moveWithCells="1">
                  <from>
                    <xdr:col>21</xdr:col>
                    <xdr:colOff>209550</xdr:colOff>
                    <xdr:row>17</xdr:row>
                    <xdr:rowOff>19050</xdr:rowOff>
                  </from>
                  <to>
                    <xdr:col>21</xdr:col>
                    <xdr:colOff>638175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0" r:id="rId45" name="Check Box 54">
              <controlPr defaultSize="0" autoFill="0" autoLine="0" autoPict="0">
                <anchor moveWithCells="1">
                  <from>
                    <xdr:col>21</xdr:col>
                    <xdr:colOff>209550</xdr:colOff>
                    <xdr:row>17</xdr:row>
                    <xdr:rowOff>19050</xdr:rowOff>
                  </from>
                  <to>
                    <xdr:col>21</xdr:col>
                    <xdr:colOff>638175</xdr:colOff>
                    <xdr:row>17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Inrich</vt:lpstr>
      <vt:lpstr>One Bangkok</vt:lpstr>
      <vt:lpstr>ARI</vt:lpstr>
      <vt:lpstr>Charn</vt:lpstr>
      <vt:lpstr>Bangna</vt:lpstr>
      <vt:lpstr>The Circle</vt:lpstr>
      <vt:lpstr>Thong lor</vt:lpstr>
      <vt:lpstr>Ekamai</vt:lpstr>
      <vt:lpstr>Paragon.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Maneerat Rodnil</dc:creator>
  <cp:lastModifiedBy>Maneerat Rodnil</cp:lastModifiedBy>
  <cp:lastPrinted>2026-04-10T09:03:48Z</cp:lastPrinted>
  <dcterms:created xsi:type="dcterms:W3CDTF">2026-04-04T03:57:27Z</dcterms:created>
  <dcterms:modified xsi:type="dcterms:W3CDTF">2026-04-11T04:54:53Z</dcterms:modified>
</cp:coreProperties>
</file>